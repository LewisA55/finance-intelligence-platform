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finance-intelligence-platform\analysis\"/>
    </mc:Choice>
  </mc:AlternateContent>
  <xr:revisionPtr revIDLastSave="0" documentId="13_ncr:1_{D891BAF6-2345-4946-9C46-DE04EB50A756}" xr6:coauthVersionLast="47" xr6:coauthVersionMax="47" xr10:uidLastSave="{00000000-0000-0000-0000-000000000000}"/>
  <bookViews>
    <workbookView xWindow="28680" yWindow="-120" windowWidth="29040" windowHeight="15720" xr2:uid="{75383E28-11CF-4DCF-8D18-DD33E40E235F}"/>
  </bookViews>
  <sheets>
    <sheet name="00_Cover" sheetId="1" r:id="rId1"/>
    <sheet name="01_Model_Map" sheetId="2" r:id="rId2"/>
    <sheet name="02_Control" sheetId="13" r:id="rId3"/>
    <sheet name="03_Raw_Exports" sheetId="14" r:id="rId4"/>
    <sheet name="04_Model_Feed_Final" sheetId="17" r:id="rId5"/>
    <sheet name="05_Monthly_Model" sheetId="10" r:id="rId6"/>
    <sheet name="06_Assumptions" sheetId="9" r:id="rId7"/>
    <sheet name="07_Forecast_IS" sheetId="16" r:id="rId8"/>
    <sheet name="08_Forecast_BS" sheetId="8" r:id="rId9"/>
    <sheet name="09_Forecast_CFS" sheetId="7" r:id="rId10"/>
    <sheet name="10_DCF" sheetId="6" r:id="rId11"/>
    <sheet name="11_Audit_Checks" sheetId="5" r:id="rId12"/>
    <sheet name="12_Outputs" sheetId="4" r:id="rId13"/>
  </sheets>
  <definedNames>
    <definedName name="ExternalData_2" localSheetId="4" hidden="1">'04_Model_Feed_Final'!$A$1:$BH$43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7" i="6" l="1"/>
  <c r="B46" i="6"/>
  <c r="B40" i="6"/>
  <c r="C40" i="6"/>
  <c r="D40" i="6"/>
  <c r="E40" i="6"/>
  <c r="F40" i="6"/>
  <c r="B41" i="6"/>
  <c r="C41" i="6"/>
  <c r="D41" i="6"/>
  <c r="E41" i="6"/>
  <c r="F41" i="6"/>
  <c r="B42" i="6"/>
  <c r="C42" i="6"/>
  <c r="D42" i="6"/>
  <c r="E42" i="6"/>
  <c r="F42" i="6"/>
  <c r="B43" i="6"/>
  <c r="C43" i="6"/>
  <c r="D43" i="6"/>
  <c r="E43" i="6"/>
  <c r="F43" i="6"/>
  <c r="C39" i="6"/>
  <c r="D39" i="6"/>
  <c r="E39" i="6"/>
  <c r="F39" i="6"/>
  <c r="B39" i="6"/>
  <c r="C10" i="6"/>
  <c r="C13" i="6" s="1"/>
  <c r="C14" i="6" s="1"/>
  <c r="D10" i="6"/>
  <c r="D13" i="6" s="1"/>
  <c r="D14" i="6" s="1"/>
  <c r="C11" i="6"/>
  <c r="D11" i="6"/>
  <c r="C12" i="6"/>
  <c r="D12" i="6"/>
  <c r="C15" i="6"/>
  <c r="D15" i="6"/>
  <c r="C20" i="6"/>
  <c r="C23" i="6" s="1"/>
  <c r="D20" i="6"/>
  <c r="D23" i="6" s="1"/>
  <c r="C21" i="6"/>
  <c r="D21" i="6"/>
  <c r="C22" i="6"/>
  <c r="D22" i="6"/>
  <c r="B11" i="6"/>
  <c r="B10" i="6"/>
  <c r="B13" i="6" s="1"/>
  <c r="B14" i="6" s="1"/>
  <c r="B31" i="6"/>
  <c r="B26" i="6"/>
  <c r="C26" i="6"/>
  <c r="C25" i="6"/>
  <c r="B25" i="6"/>
  <c r="B22" i="6"/>
  <c r="B21" i="6"/>
  <c r="B20" i="6"/>
  <c r="B23" i="6" s="1"/>
  <c r="B15" i="6"/>
  <c r="B12" i="6"/>
  <c r="C9" i="6"/>
  <c r="C16" i="6" s="1"/>
  <c r="D9" i="6"/>
  <c r="B9" i="6"/>
  <c r="C6" i="6"/>
  <c r="D6" i="6"/>
  <c r="B6" i="6"/>
  <c r="A2" i="6"/>
  <c r="F21" i="9"/>
  <c r="F22" i="9"/>
  <c r="F23" i="9"/>
  <c r="F24" i="9"/>
  <c r="F25" i="9"/>
  <c r="C29" i="7"/>
  <c r="D29" i="7"/>
  <c r="C30" i="7"/>
  <c r="D30" i="7"/>
  <c r="C31" i="7"/>
  <c r="D31" i="7"/>
  <c r="B31" i="7"/>
  <c r="B30" i="7"/>
  <c r="B29" i="7"/>
  <c r="C5" i="7"/>
  <c r="D5" i="7"/>
  <c r="D8" i="7" s="1"/>
  <c r="E5" i="7"/>
  <c r="E7" i="7" s="1"/>
  <c r="F5" i="7"/>
  <c r="F8" i="7" s="1"/>
  <c r="G5" i="7"/>
  <c r="G7" i="7" s="1"/>
  <c r="H5" i="7"/>
  <c r="H7" i="7" s="1"/>
  <c r="I5" i="7"/>
  <c r="I7" i="7" s="1"/>
  <c r="J5" i="7"/>
  <c r="J8" i="7" s="1"/>
  <c r="K5" i="7"/>
  <c r="L5" i="7"/>
  <c r="M5" i="7"/>
  <c r="M7" i="7" s="1"/>
  <c r="N5" i="7"/>
  <c r="N8" i="7" s="1"/>
  <c r="O5" i="7"/>
  <c r="O7" i="7" s="1"/>
  <c r="P5" i="7"/>
  <c r="P7" i="7" s="1"/>
  <c r="Q5" i="7"/>
  <c r="Q7" i="7" s="1"/>
  <c r="R5" i="7"/>
  <c r="R8" i="7" s="1"/>
  <c r="S5" i="7"/>
  <c r="T5" i="7"/>
  <c r="U5" i="7"/>
  <c r="U8" i="7" s="1"/>
  <c r="V5" i="7"/>
  <c r="V7" i="7" s="1"/>
  <c r="W5" i="7"/>
  <c r="W7" i="7" s="1"/>
  <c r="X5" i="7"/>
  <c r="X7" i="7" s="1"/>
  <c r="Y5" i="7"/>
  <c r="Y7" i="7" s="1"/>
  <c r="Z5" i="7"/>
  <c r="Z8" i="7" s="1"/>
  <c r="AA5" i="7"/>
  <c r="AB5" i="7"/>
  <c r="AC5" i="7"/>
  <c r="AC7" i="7" s="1"/>
  <c r="AD5" i="7"/>
  <c r="AD7" i="7" s="1"/>
  <c r="AE5" i="7"/>
  <c r="AE7" i="7" s="1"/>
  <c r="AF5" i="7"/>
  <c r="AF7" i="7" s="1"/>
  <c r="AG5" i="7"/>
  <c r="AG7" i="7" s="1"/>
  <c r="AH5" i="7"/>
  <c r="AH8" i="7" s="1"/>
  <c r="AI5" i="7"/>
  <c r="AJ5" i="7"/>
  <c r="AK5" i="7"/>
  <c r="AL5" i="7"/>
  <c r="AL7" i="7" s="1"/>
  <c r="AM5" i="7"/>
  <c r="AM7" i="7" s="1"/>
  <c r="AN5" i="7"/>
  <c r="AN7" i="7" s="1"/>
  <c r="AO5" i="7"/>
  <c r="AO7" i="7" s="1"/>
  <c r="AP5" i="7"/>
  <c r="AP8" i="7" s="1"/>
  <c r="AQ5" i="7"/>
  <c r="AR5" i="7"/>
  <c r="AR8" i="7" s="1"/>
  <c r="AS5" i="7"/>
  <c r="AS7" i="7" s="1"/>
  <c r="AT5" i="7"/>
  <c r="AU5" i="7"/>
  <c r="AU7" i="7" s="1"/>
  <c r="AV5" i="7"/>
  <c r="AV7" i="7" s="1"/>
  <c r="AW5" i="7"/>
  <c r="AW7" i="7" s="1"/>
  <c r="AX5" i="7"/>
  <c r="AX8" i="7" s="1"/>
  <c r="AY5" i="7"/>
  <c r="AZ5" i="7"/>
  <c r="BA5" i="7"/>
  <c r="BA8" i="7" s="1"/>
  <c r="BB5" i="7"/>
  <c r="BB7" i="7" s="1"/>
  <c r="BC5" i="7"/>
  <c r="BC7" i="7" s="1"/>
  <c r="BD5" i="7"/>
  <c r="BD7" i="7" s="1"/>
  <c r="BE5" i="7"/>
  <c r="BE7" i="7" s="1"/>
  <c r="BF5" i="7"/>
  <c r="BF8" i="7" s="1"/>
  <c r="BG5" i="7"/>
  <c r="BH5" i="7"/>
  <c r="BI5" i="7"/>
  <c r="BI8" i="7" s="1"/>
  <c r="BJ5" i="7"/>
  <c r="BJ8" i="7" s="1"/>
  <c r="BK5" i="7"/>
  <c r="BK7" i="7" s="1"/>
  <c r="BL5" i="7"/>
  <c r="BL7" i="7" s="1"/>
  <c r="BM5" i="7"/>
  <c r="BM7" i="7" s="1"/>
  <c r="BN5" i="7"/>
  <c r="BN8" i="7" s="1"/>
  <c r="BO5" i="7"/>
  <c r="BP5" i="7"/>
  <c r="BQ5" i="7"/>
  <c r="BQ8" i="7" s="1"/>
  <c r="BR5" i="7"/>
  <c r="BR7" i="7" s="1"/>
  <c r="BS5" i="7"/>
  <c r="BS7" i="7" s="1"/>
  <c r="BT5" i="7"/>
  <c r="BT7" i="7" s="1"/>
  <c r="BU5" i="7"/>
  <c r="BU7" i="7" s="1"/>
  <c r="BV5" i="7"/>
  <c r="BV8" i="7" s="1"/>
  <c r="BW5" i="7"/>
  <c r="BX5" i="7"/>
  <c r="BY5" i="7"/>
  <c r="BZ5" i="7"/>
  <c r="BZ8" i="7" s="1"/>
  <c r="CA5" i="7"/>
  <c r="CA7" i="7" s="1"/>
  <c r="CB5" i="7"/>
  <c r="CB7" i="7" s="1"/>
  <c r="CC5" i="7"/>
  <c r="CC7" i="7" s="1"/>
  <c r="CD5" i="7"/>
  <c r="CD8" i="7" s="1"/>
  <c r="CE5" i="7"/>
  <c r="CF5" i="7"/>
  <c r="CF8" i="7" s="1"/>
  <c r="CG5" i="7"/>
  <c r="CG8" i="7" s="1"/>
  <c r="B5" i="7"/>
  <c r="B8" i="7" s="1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B6" i="7"/>
  <c r="CE8" i="7"/>
  <c r="BY8" i="7"/>
  <c r="BX8" i="7"/>
  <c r="BW8" i="7"/>
  <c r="BR8" i="7"/>
  <c r="BP8" i="7"/>
  <c r="BO8" i="7"/>
  <c r="BH8" i="7"/>
  <c r="BG8" i="7"/>
  <c r="AZ8" i="7"/>
  <c r="AY8" i="7"/>
  <c r="AU8" i="7"/>
  <c r="AT8" i="7"/>
  <c r="AQ8" i="7"/>
  <c r="AK8" i="7"/>
  <c r="AJ8" i="7"/>
  <c r="AI8" i="7"/>
  <c r="AF8" i="7"/>
  <c r="AD8" i="7"/>
  <c r="AB8" i="7"/>
  <c r="AA8" i="7"/>
  <c r="T8" i="7"/>
  <c r="S8" i="7"/>
  <c r="M8" i="7"/>
  <c r="L8" i="7"/>
  <c r="K8" i="7"/>
  <c r="E8" i="7"/>
  <c r="C8" i="7"/>
  <c r="CF7" i="7"/>
  <c r="CE7" i="7"/>
  <c r="BZ7" i="7"/>
  <c r="BY7" i="7"/>
  <c r="BX7" i="7"/>
  <c r="BW7" i="7"/>
  <c r="BQ7" i="7"/>
  <c r="BP7" i="7"/>
  <c r="BO7" i="7"/>
  <c r="BJ7" i="7"/>
  <c r="BI7" i="7"/>
  <c r="BH7" i="7"/>
  <c r="BG7" i="7"/>
  <c r="AZ7" i="7"/>
  <c r="AY7" i="7"/>
  <c r="AT7" i="7"/>
  <c r="AR7" i="7"/>
  <c r="AQ7" i="7"/>
  <c r="AK7" i="7"/>
  <c r="AJ7" i="7"/>
  <c r="AI7" i="7"/>
  <c r="AB7" i="7"/>
  <c r="AA7" i="7"/>
  <c r="T7" i="7"/>
  <c r="S7" i="7"/>
  <c r="N7" i="7"/>
  <c r="L7" i="7"/>
  <c r="K7" i="7"/>
  <c r="F7" i="7"/>
  <c r="D7" i="7"/>
  <c r="C7" i="7"/>
  <c r="B7" i="7"/>
  <c r="CG7" i="8"/>
  <c r="CF7" i="8"/>
  <c r="CE7" i="8"/>
  <c r="CD7" i="8"/>
  <c r="CC7" i="8"/>
  <c r="CB7" i="8"/>
  <c r="CA7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CG6" i="8"/>
  <c r="CF6" i="8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CG7" i="16"/>
  <c r="CF7" i="16"/>
  <c r="CE7" i="16"/>
  <c r="CD7" i="16"/>
  <c r="CC7" i="16"/>
  <c r="CB7" i="16"/>
  <c r="CA7" i="16"/>
  <c r="BZ7" i="16"/>
  <c r="BY7" i="16"/>
  <c r="BX7" i="16"/>
  <c r="BW7" i="16"/>
  <c r="BV7" i="16"/>
  <c r="BU7" i="16"/>
  <c r="BT7" i="16"/>
  <c r="BS7" i="16"/>
  <c r="BR7" i="16"/>
  <c r="BQ7" i="16"/>
  <c r="BP7" i="16"/>
  <c r="BO7" i="16"/>
  <c r="BN7" i="16"/>
  <c r="BM7" i="16"/>
  <c r="BL7" i="16"/>
  <c r="BK7" i="16"/>
  <c r="BJ7" i="16"/>
  <c r="BI7" i="16"/>
  <c r="BH7" i="16"/>
  <c r="BG7" i="16"/>
  <c r="BF7" i="16"/>
  <c r="BE7" i="16"/>
  <c r="BD7" i="16"/>
  <c r="BC7" i="16"/>
  <c r="BB7" i="16"/>
  <c r="BA7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F7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CG6" i="16"/>
  <c r="CF6" i="16"/>
  <c r="CE6" i="16"/>
  <c r="CD6" i="16"/>
  <c r="CC6" i="16"/>
  <c r="CB6" i="16"/>
  <c r="CA6" i="16"/>
  <c r="BZ6" i="16"/>
  <c r="BY6" i="16"/>
  <c r="BX6" i="16"/>
  <c r="BW6" i="16"/>
  <c r="BV6" i="16"/>
  <c r="BU6" i="16"/>
  <c r="BT6" i="16"/>
  <c r="BS6" i="16"/>
  <c r="BR6" i="16"/>
  <c r="BQ6" i="16"/>
  <c r="BP6" i="16"/>
  <c r="BO6" i="16"/>
  <c r="BN6" i="16"/>
  <c r="BM6" i="16"/>
  <c r="BL6" i="16"/>
  <c r="BK6" i="16"/>
  <c r="BJ6" i="16"/>
  <c r="BI6" i="16"/>
  <c r="BH6" i="16"/>
  <c r="BG6" i="16"/>
  <c r="BF6" i="16"/>
  <c r="BE6" i="16"/>
  <c r="BD6" i="16"/>
  <c r="BC6" i="16"/>
  <c r="BB6" i="16"/>
  <c r="BA6" i="16"/>
  <c r="AZ6" i="16"/>
  <c r="AY6" i="16"/>
  <c r="AX6" i="16"/>
  <c r="AW6" i="16"/>
  <c r="AV6" i="16"/>
  <c r="AU6" i="16"/>
  <c r="AT6" i="16"/>
  <c r="AS6" i="16"/>
  <c r="AR6" i="16"/>
  <c r="AQ6" i="16"/>
  <c r="AP6" i="16"/>
  <c r="AO6" i="16"/>
  <c r="AN6" i="16"/>
  <c r="AM6" i="16"/>
  <c r="AL6" i="16"/>
  <c r="AK6" i="16"/>
  <c r="AJ6" i="16"/>
  <c r="AI6" i="16"/>
  <c r="AH6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C11" i="7"/>
  <c r="F11" i="7"/>
  <c r="J11" i="7"/>
  <c r="K11" i="7"/>
  <c r="N11" i="7"/>
  <c r="R11" i="7"/>
  <c r="S11" i="7"/>
  <c r="V11" i="7"/>
  <c r="Z11" i="7"/>
  <c r="AA11" i="7"/>
  <c r="AD11" i="7"/>
  <c r="AH11" i="7"/>
  <c r="AI11" i="7"/>
  <c r="AL11" i="7"/>
  <c r="AP11" i="7"/>
  <c r="AQ11" i="7"/>
  <c r="C12" i="7"/>
  <c r="H12" i="7"/>
  <c r="K12" i="7"/>
  <c r="P12" i="7"/>
  <c r="S12" i="7"/>
  <c r="X12" i="7"/>
  <c r="AA12" i="7"/>
  <c r="AE12" i="7"/>
  <c r="AF12" i="7"/>
  <c r="AI12" i="7"/>
  <c r="AN12" i="7"/>
  <c r="AQ12" i="7"/>
  <c r="L13" i="7"/>
  <c r="M13" i="7"/>
  <c r="X13" i="7"/>
  <c r="AF13" i="7"/>
  <c r="AJ13" i="7"/>
  <c r="AK13" i="7"/>
  <c r="A2" i="7"/>
  <c r="B5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CC5" i="8"/>
  <c r="CD5" i="8"/>
  <c r="CE5" i="8"/>
  <c r="CF5" i="8"/>
  <c r="CG5" i="8"/>
  <c r="CG4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C22" i="8"/>
  <c r="D22" i="8"/>
  <c r="D11" i="7" s="1"/>
  <c r="E22" i="8"/>
  <c r="E11" i="7" s="1"/>
  <c r="F22" i="8"/>
  <c r="G22" i="8"/>
  <c r="G11" i="7" s="1"/>
  <c r="H22" i="8"/>
  <c r="H11" i="7" s="1"/>
  <c r="I22" i="8"/>
  <c r="I11" i="7" s="1"/>
  <c r="J22" i="8"/>
  <c r="K22" i="8"/>
  <c r="L22" i="8"/>
  <c r="L11" i="7" s="1"/>
  <c r="M22" i="8"/>
  <c r="M11" i="7" s="1"/>
  <c r="N22" i="8"/>
  <c r="O22" i="8"/>
  <c r="O11" i="7" s="1"/>
  <c r="P22" i="8"/>
  <c r="P11" i="7" s="1"/>
  <c r="Q22" i="8"/>
  <c r="Q11" i="7" s="1"/>
  <c r="R22" i="8"/>
  <c r="S22" i="8"/>
  <c r="T22" i="8"/>
  <c r="T11" i="7" s="1"/>
  <c r="U22" i="8"/>
  <c r="U11" i="7" s="1"/>
  <c r="V22" i="8"/>
  <c r="W22" i="8"/>
  <c r="W11" i="7" s="1"/>
  <c r="X22" i="8"/>
  <c r="X11" i="7" s="1"/>
  <c r="Y22" i="8"/>
  <c r="Y11" i="7" s="1"/>
  <c r="Z22" i="8"/>
  <c r="AA22" i="8"/>
  <c r="AB22" i="8"/>
  <c r="AB11" i="7" s="1"/>
  <c r="AC22" i="8"/>
  <c r="AC11" i="7" s="1"/>
  <c r="AD22" i="8"/>
  <c r="AE22" i="8"/>
  <c r="AE11" i="7" s="1"/>
  <c r="AF22" i="8"/>
  <c r="AF11" i="7" s="1"/>
  <c r="AG22" i="8"/>
  <c r="AG11" i="7" s="1"/>
  <c r="AH22" i="8"/>
  <c r="AI22" i="8"/>
  <c r="AJ22" i="8"/>
  <c r="AJ11" i="7" s="1"/>
  <c r="AK22" i="8"/>
  <c r="AK11" i="7" s="1"/>
  <c r="AL22" i="8"/>
  <c r="AM22" i="8"/>
  <c r="AM11" i="7" s="1"/>
  <c r="AN22" i="8"/>
  <c r="AN11" i="7" s="1"/>
  <c r="AO22" i="8"/>
  <c r="AO11" i="7" s="1"/>
  <c r="AP22" i="8"/>
  <c r="AQ22" i="8"/>
  <c r="C23" i="8"/>
  <c r="D23" i="8"/>
  <c r="D12" i="7" s="1"/>
  <c r="E23" i="8"/>
  <c r="E12" i="7" s="1"/>
  <c r="F23" i="8"/>
  <c r="F12" i="7" s="1"/>
  <c r="G23" i="8"/>
  <c r="G12" i="7" s="1"/>
  <c r="H23" i="8"/>
  <c r="I23" i="8"/>
  <c r="I12" i="7" s="1"/>
  <c r="J23" i="8"/>
  <c r="J12" i="7" s="1"/>
  <c r="K23" i="8"/>
  <c r="L23" i="8"/>
  <c r="L12" i="7" s="1"/>
  <c r="M23" i="8"/>
  <c r="M12" i="7" s="1"/>
  <c r="N23" i="8"/>
  <c r="N12" i="7" s="1"/>
  <c r="O23" i="8"/>
  <c r="O12" i="7" s="1"/>
  <c r="P23" i="8"/>
  <c r="Q23" i="8"/>
  <c r="Q12" i="7" s="1"/>
  <c r="R23" i="8"/>
  <c r="R12" i="7" s="1"/>
  <c r="S23" i="8"/>
  <c r="T23" i="8"/>
  <c r="T12" i="7" s="1"/>
  <c r="U23" i="8"/>
  <c r="U12" i="7" s="1"/>
  <c r="V23" i="8"/>
  <c r="V12" i="7" s="1"/>
  <c r="W23" i="8"/>
  <c r="W12" i="7" s="1"/>
  <c r="X23" i="8"/>
  <c r="Y23" i="8"/>
  <c r="Y12" i="7" s="1"/>
  <c r="Z23" i="8"/>
  <c r="Z12" i="7" s="1"/>
  <c r="AA23" i="8"/>
  <c r="AB23" i="8"/>
  <c r="AB12" i="7" s="1"/>
  <c r="AC23" i="8"/>
  <c r="AC12" i="7" s="1"/>
  <c r="AD23" i="8"/>
  <c r="AD12" i="7" s="1"/>
  <c r="AE23" i="8"/>
  <c r="AF23" i="8"/>
  <c r="AG23" i="8"/>
  <c r="AG12" i="7" s="1"/>
  <c r="AH23" i="8"/>
  <c r="AH12" i="7" s="1"/>
  <c r="AI23" i="8"/>
  <c r="AJ23" i="8"/>
  <c r="AJ12" i="7" s="1"/>
  <c r="AK23" i="8"/>
  <c r="AK12" i="7" s="1"/>
  <c r="AL23" i="8"/>
  <c r="AL12" i="7" s="1"/>
  <c r="AM23" i="8"/>
  <c r="AM12" i="7" s="1"/>
  <c r="AN23" i="8"/>
  <c r="AO23" i="8"/>
  <c r="AO12" i="7" s="1"/>
  <c r="AP23" i="8"/>
  <c r="AP12" i="7" s="1"/>
  <c r="AQ23" i="8"/>
  <c r="C24" i="8"/>
  <c r="C13" i="7" s="1"/>
  <c r="D24" i="8"/>
  <c r="D13" i="7" s="1"/>
  <c r="E24" i="8"/>
  <c r="E13" i="7" s="1"/>
  <c r="F24" i="8"/>
  <c r="F13" i="7" s="1"/>
  <c r="G24" i="8"/>
  <c r="G13" i="7" s="1"/>
  <c r="H24" i="8"/>
  <c r="H13" i="7" s="1"/>
  <c r="I24" i="8"/>
  <c r="I13" i="7" s="1"/>
  <c r="J24" i="8"/>
  <c r="J13" i="7" s="1"/>
  <c r="K24" i="8"/>
  <c r="K13" i="7" s="1"/>
  <c r="L24" i="8"/>
  <c r="M24" i="8"/>
  <c r="N24" i="8"/>
  <c r="N13" i="7" s="1"/>
  <c r="O24" i="8"/>
  <c r="O13" i="7" s="1"/>
  <c r="P24" i="8"/>
  <c r="P13" i="7" s="1"/>
  <c r="Q24" i="8"/>
  <c r="Q13" i="7" s="1"/>
  <c r="R24" i="8"/>
  <c r="R13" i="7" s="1"/>
  <c r="S24" i="8"/>
  <c r="S13" i="7" s="1"/>
  <c r="T24" i="8"/>
  <c r="T13" i="7" s="1"/>
  <c r="U24" i="8"/>
  <c r="U13" i="7" s="1"/>
  <c r="V24" i="8"/>
  <c r="V13" i="7" s="1"/>
  <c r="W24" i="8"/>
  <c r="W13" i="7" s="1"/>
  <c r="X24" i="8"/>
  <c r="Y24" i="8"/>
  <c r="Y13" i="7" s="1"/>
  <c r="Z24" i="8"/>
  <c r="Z13" i="7" s="1"/>
  <c r="AA24" i="8"/>
  <c r="AA13" i="7" s="1"/>
  <c r="AB24" i="8"/>
  <c r="AB13" i="7" s="1"/>
  <c r="AC24" i="8"/>
  <c r="AC13" i="7" s="1"/>
  <c r="AD24" i="8"/>
  <c r="AD13" i="7" s="1"/>
  <c r="AE24" i="8"/>
  <c r="AE13" i="7" s="1"/>
  <c r="AF24" i="8"/>
  <c r="AG24" i="8"/>
  <c r="AG13" i="7" s="1"/>
  <c r="AH24" i="8"/>
  <c r="AH13" i="7" s="1"/>
  <c r="AI24" i="8"/>
  <c r="AI13" i="7" s="1"/>
  <c r="AJ24" i="8"/>
  <c r="AK24" i="8"/>
  <c r="AL24" i="8"/>
  <c r="AL13" i="7" s="1"/>
  <c r="AM24" i="8"/>
  <c r="AM13" i="7" s="1"/>
  <c r="AN24" i="8"/>
  <c r="AN13" i="7" s="1"/>
  <c r="AO24" i="8"/>
  <c r="AO13" i="7" s="1"/>
  <c r="AP24" i="8"/>
  <c r="AP13" i="7" s="1"/>
  <c r="AQ24" i="8"/>
  <c r="AQ13" i="7" s="1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2" i="8"/>
  <c r="B24" i="8"/>
  <c r="B13" i="7" s="1"/>
  <c r="B23" i="8"/>
  <c r="B12" i="7" s="1"/>
  <c r="B22" i="8"/>
  <c r="B11" i="7" s="1"/>
  <c r="B21" i="8"/>
  <c r="F20" i="9"/>
  <c r="B20" i="8" s="1"/>
  <c r="B17" i="7" s="1"/>
  <c r="B35" i="7" s="1"/>
  <c r="B14" i="8"/>
  <c r="B13" i="8"/>
  <c r="B10" i="8"/>
  <c r="B5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BR4" i="8"/>
  <c r="BS4" i="8"/>
  <c r="BT4" i="8"/>
  <c r="BU4" i="8"/>
  <c r="BV4" i="8"/>
  <c r="BW4" i="8"/>
  <c r="BX4" i="8"/>
  <c r="BY4" i="8"/>
  <c r="BZ4" i="8"/>
  <c r="CA4" i="8"/>
  <c r="CB4" i="8"/>
  <c r="CC4" i="8"/>
  <c r="CD4" i="8"/>
  <c r="CE4" i="8"/>
  <c r="CF4" i="8"/>
  <c r="B4" i="8"/>
  <c r="A2" i="16"/>
  <c r="CG5" i="16"/>
  <c r="CF5" i="16"/>
  <c r="CE5" i="16"/>
  <c r="CD5" i="16"/>
  <c r="CC5" i="16"/>
  <c r="CB5" i="16"/>
  <c r="CA5" i="16"/>
  <c r="BZ5" i="16"/>
  <c r="BY5" i="16"/>
  <c r="BX5" i="16"/>
  <c r="BW5" i="16"/>
  <c r="BV5" i="16"/>
  <c r="BU5" i="16"/>
  <c r="BT5" i="16"/>
  <c r="BS5" i="16"/>
  <c r="BR5" i="16"/>
  <c r="BQ5" i="16"/>
  <c r="BP5" i="16"/>
  <c r="BO5" i="16"/>
  <c r="BN5" i="16"/>
  <c r="BM5" i="16"/>
  <c r="BL5" i="16"/>
  <c r="BK5" i="16"/>
  <c r="BJ5" i="16"/>
  <c r="BI5" i="16"/>
  <c r="BH5" i="16"/>
  <c r="BG5" i="16"/>
  <c r="BF5" i="16"/>
  <c r="BE5" i="16"/>
  <c r="BD5" i="16"/>
  <c r="BC5" i="16"/>
  <c r="BB5" i="16"/>
  <c r="BA5" i="16"/>
  <c r="AZ5" i="16"/>
  <c r="AY5" i="16"/>
  <c r="AX5" i="16"/>
  <c r="AW5" i="16"/>
  <c r="AV5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AH5" i="16"/>
  <c r="AG5" i="16"/>
  <c r="AF5" i="16"/>
  <c r="AE5" i="16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CG4" i="16"/>
  <c r="CF4" i="16"/>
  <c r="CE4" i="16"/>
  <c r="CD4" i="16"/>
  <c r="CC4" i="16"/>
  <c r="CB4" i="16"/>
  <c r="CA4" i="16"/>
  <c r="BZ4" i="16"/>
  <c r="BY4" i="16"/>
  <c r="BX4" i="16"/>
  <c r="BW4" i="16"/>
  <c r="BV4" i="16"/>
  <c r="BU4" i="16"/>
  <c r="BT4" i="16"/>
  <c r="BS4" i="16"/>
  <c r="BR4" i="16"/>
  <c r="BQ4" i="16"/>
  <c r="BP4" i="16"/>
  <c r="BO4" i="16"/>
  <c r="BN4" i="16"/>
  <c r="BM4" i="16"/>
  <c r="BL4" i="16"/>
  <c r="BK4" i="16"/>
  <c r="BJ4" i="16"/>
  <c r="BI4" i="16"/>
  <c r="BH4" i="16"/>
  <c r="BG4" i="16"/>
  <c r="BF4" i="16"/>
  <c r="BE4" i="16"/>
  <c r="BD4" i="16"/>
  <c r="BC4" i="16"/>
  <c r="BB4" i="16"/>
  <c r="BA4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B22" i="16"/>
  <c r="B21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L24" i="16" s="1"/>
  <c r="AM14" i="16"/>
  <c r="AN14" i="16"/>
  <c r="AO14" i="16"/>
  <c r="AP14" i="16"/>
  <c r="AQ14" i="16"/>
  <c r="C15" i="16"/>
  <c r="D15" i="16"/>
  <c r="E15" i="16"/>
  <c r="F15" i="16"/>
  <c r="G15" i="16"/>
  <c r="H15" i="16"/>
  <c r="H24" i="16" s="1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X24" i="16" s="1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C17" i="16"/>
  <c r="D17" i="16"/>
  <c r="E17" i="16"/>
  <c r="F17" i="16"/>
  <c r="G17" i="16"/>
  <c r="G25" i="16" s="1"/>
  <c r="H17" i="16"/>
  <c r="I17" i="16"/>
  <c r="J17" i="16"/>
  <c r="K17" i="16"/>
  <c r="L17" i="16"/>
  <c r="M17" i="16"/>
  <c r="N17" i="16"/>
  <c r="O17" i="16"/>
  <c r="O25" i="16" s="1"/>
  <c r="P17" i="16"/>
  <c r="Q17" i="16"/>
  <c r="R17" i="16"/>
  <c r="S17" i="16"/>
  <c r="T17" i="16"/>
  <c r="U17" i="16"/>
  <c r="V17" i="16"/>
  <c r="W17" i="16"/>
  <c r="W25" i="16" s="1"/>
  <c r="X17" i="16"/>
  <c r="Y17" i="16"/>
  <c r="Z17" i="16"/>
  <c r="AA17" i="16"/>
  <c r="AB17" i="16"/>
  <c r="AC17" i="16"/>
  <c r="AD17" i="16"/>
  <c r="AE17" i="16"/>
  <c r="AE25" i="16" s="1"/>
  <c r="AF17" i="16"/>
  <c r="AG17" i="16"/>
  <c r="AH17" i="16"/>
  <c r="AI17" i="16"/>
  <c r="AJ17" i="16"/>
  <c r="AK17" i="16"/>
  <c r="AL17" i="16"/>
  <c r="AM17" i="16"/>
  <c r="AM25" i="16" s="1"/>
  <c r="AN17" i="16"/>
  <c r="AO17" i="16"/>
  <c r="AP17" i="16"/>
  <c r="AQ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B18" i="16"/>
  <c r="B17" i="16"/>
  <c r="B15" i="16"/>
  <c r="B14" i="16"/>
  <c r="B13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U25" i="16" s="1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B10" i="16"/>
  <c r="B5" i="16"/>
  <c r="A3" i="9"/>
  <c r="F16" i="9"/>
  <c r="F17" i="9"/>
  <c r="F18" i="9"/>
  <c r="F19" i="9"/>
  <c r="F15" i="9"/>
  <c r="F13" i="9"/>
  <c r="F14" i="9"/>
  <c r="F12" i="9"/>
  <c r="F7" i="9"/>
  <c r="F8" i="9"/>
  <c r="F9" i="9"/>
  <c r="F10" i="9"/>
  <c r="F11" i="9"/>
  <c r="F6" i="9"/>
  <c r="B51" i="5"/>
  <c r="B30" i="5"/>
  <c r="B31" i="5" s="1"/>
  <c r="B19" i="5"/>
  <c r="B20" i="5" s="1"/>
  <c r="B11" i="5"/>
  <c r="B29" i="5"/>
  <c r="B27" i="5" a="1"/>
  <c r="B27" i="5" s="1"/>
  <c r="B28" i="5" s="1"/>
  <c r="B25" i="5" a="1"/>
  <c r="B25" i="5" s="1"/>
  <c r="B26" i="5" s="1"/>
  <c r="B43" i="5"/>
  <c r="B41" i="5"/>
  <c r="B42" i="5" s="1"/>
  <c r="B39" i="5"/>
  <c r="B40" i="5" s="1"/>
  <c r="B37" i="5"/>
  <c r="B38" i="5" s="1"/>
  <c r="B35" i="5"/>
  <c r="B36" i="5" s="1"/>
  <c r="B10" i="5"/>
  <c r="B9" i="5"/>
  <c r="B8" i="5"/>
  <c r="B6" i="5"/>
  <c r="B7" i="5" s="1"/>
  <c r="A5" i="13"/>
  <c r="B18" i="13" a="1"/>
  <c r="B18" i="13" s="1"/>
  <c r="B49" i="5" s="1"/>
  <c r="B50" i="5" s="1"/>
  <c r="B17" i="13"/>
  <c r="B4" i="10"/>
  <c r="D16" i="6" l="1"/>
  <c r="C17" i="6"/>
  <c r="C24" i="6" s="1"/>
  <c r="D17" i="6"/>
  <c r="D24" i="6" s="1"/>
  <c r="B32" i="7"/>
  <c r="B36" i="7" s="1"/>
  <c r="D32" i="7"/>
  <c r="D36" i="7" s="1"/>
  <c r="C32" i="7"/>
  <c r="C36" i="7" s="1"/>
  <c r="BA7" i="7"/>
  <c r="W8" i="7"/>
  <c r="V8" i="7"/>
  <c r="G8" i="7"/>
  <c r="AS8" i="7"/>
  <c r="AX7" i="7"/>
  <c r="X8" i="7"/>
  <c r="BL8" i="7"/>
  <c r="AL8" i="7"/>
  <c r="BB8" i="7"/>
  <c r="CA8" i="7"/>
  <c r="BC8" i="7"/>
  <c r="O8" i="7"/>
  <c r="AC8" i="7"/>
  <c r="BD8" i="7"/>
  <c r="J14" i="7"/>
  <c r="J18" i="7" s="1"/>
  <c r="R7" i="7"/>
  <c r="CD7" i="7"/>
  <c r="P8" i="7"/>
  <c r="AV8" i="7"/>
  <c r="CB8" i="7"/>
  <c r="BN7" i="7"/>
  <c r="AP7" i="7"/>
  <c r="AH7" i="7"/>
  <c r="H8" i="7"/>
  <c r="AN8" i="7"/>
  <c r="BT8" i="7"/>
  <c r="Z7" i="7"/>
  <c r="BF7" i="7"/>
  <c r="AM8" i="7"/>
  <c r="BS8" i="7"/>
  <c r="J7" i="7"/>
  <c r="U7" i="7"/>
  <c r="BV7" i="7"/>
  <c r="CG7" i="7"/>
  <c r="AE8" i="7"/>
  <c r="BK8" i="7"/>
  <c r="Q8" i="7"/>
  <c r="AO8" i="7"/>
  <c r="BM8" i="7"/>
  <c r="Y8" i="7"/>
  <c r="AW8" i="7"/>
  <c r="BU8" i="7"/>
  <c r="I8" i="7"/>
  <c r="AG8" i="7"/>
  <c r="BE8" i="7"/>
  <c r="CC8" i="7"/>
  <c r="C27" i="7" a="1"/>
  <c r="C27" i="7" s="1"/>
  <c r="AQ14" i="7"/>
  <c r="AQ18" i="7" s="1"/>
  <c r="AP14" i="7"/>
  <c r="AP18" i="7" s="1"/>
  <c r="R14" i="7"/>
  <c r="R18" i="7" s="1"/>
  <c r="K14" i="7"/>
  <c r="K18" i="7" s="1"/>
  <c r="G33" i="8" a="1"/>
  <c r="G33" i="8" s="1"/>
  <c r="B27" i="7" a="1"/>
  <c r="B27" i="7" s="1"/>
  <c r="G27" i="7" a="1"/>
  <c r="G27" i="7" s="1"/>
  <c r="E27" i="7" a="1"/>
  <c r="E27" i="7" s="1"/>
  <c r="H27" i="7" a="1"/>
  <c r="H27" i="7" s="1"/>
  <c r="AA14" i="7"/>
  <c r="AA18" i="7" s="1"/>
  <c r="C14" i="7"/>
  <c r="C18" i="7" s="1"/>
  <c r="F27" i="7" a="1"/>
  <c r="F27" i="7" s="1"/>
  <c r="B14" i="7"/>
  <c r="B18" i="7" s="1"/>
  <c r="D27" i="7" a="1"/>
  <c r="D27" i="7" s="1"/>
  <c r="AI14" i="7"/>
  <c r="AI18" i="7" s="1"/>
  <c r="S14" i="7"/>
  <c r="S18" i="7" s="1"/>
  <c r="AH14" i="7"/>
  <c r="AH18" i="7" s="1"/>
  <c r="Z14" i="7"/>
  <c r="Z18" i="7" s="1"/>
  <c r="AO14" i="7"/>
  <c r="AO18" i="7" s="1"/>
  <c r="AG14" i="7"/>
  <c r="AG18" i="7" s="1"/>
  <c r="Y14" i="7"/>
  <c r="Y18" i="7" s="1"/>
  <c r="Q14" i="7"/>
  <c r="Q18" i="7" s="1"/>
  <c r="I14" i="7"/>
  <c r="I18" i="7" s="1"/>
  <c r="AJ14" i="7"/>
  <c r="AJ18" i="7" s="1"/>
  <c r="AB14" i="7"/>
  <c r="AB18" i="7" s="1"/>
  <c r="T14" i="7"/>
  <c r="T18" i="7" s="1"/>
  <c r="L14" i="7"/>
  <c r="L18" i="7" s="1"/>
  <c r="D14" i="7"/>
  <c r="D18" i="7" s="1"/>
  <c r="AN14" i="7"/>
  <c r="AN18" i="7" s="1"/>
  <c r="AF14" i="7"/>
  <c r="AF18" i="7" s="1"/>
  <c r="X14" i="7"/>
  <c r="X18" i="7" s="1"/>
  <c r="P14" i="7"/>
  <c r="P18" i="7" s="1"/>
  <c r="H14" i="7"/>
  <c r="H18" i="7" s="1"/>
  <c r="AM14" i="7"/>
  <c r="AM18" i="7" s="1"/>
  <c r="W14" i="7"/>
  <c r="W18" i="7" s="1"/>
  <c r="G14" i="7"/>
  <c r="G18" i="7" s="1"/>
  <c r="AL14" i="7"/>
  <c r="AL18" i="7" s="1"/>
  <c r="AD14" i="7"/>
  <c r="AD18" i="7" s="1"/>
  <c r="V14" i="7"/>
  <c r="V18" i="7" s="1"/>
  <c r="N14" i="7"/>
  <c r="N18" i="7" s="1"/>
  <c r="F14" i="7"/>
  <c r="F18" i="7" s="1"/>
  <c r="AE14" i="7"/>
  <c r="AE18" i="7" s="1"/>
  <c r="O14" i="7"/>
  <c r="O18" i="7" s="1"/>
  <c r="AK14" i="7"/>
  <c r="AK18" i="7" s="1"/>
  <c r="AC14" i="7"/>
  <c r="AC18" i="7" s="1"/>
  <c r="U14" i="7"/>
  <c r="U18" i="7" s="1"/>
  <c r="M14" i="7"/>
  <c r="M18" i="7" s="1"/>
  <c r="E14" i="7"/>
  <c r="E18" i="7" s="1"/>
  <c r="K25" i="16"/>
  <c r="B32" i="16"/>
  <c r="AN25" i="16"/>
  <c r="X25" i="16"/>
  <c r="AO24" i="16"/>
  <c r="Y24" i="16"/>
  <c r="Q24" i="16"/>
  <c r="I24" i="16"/>
  <c r="C24" i="16"/>
  <c r="H33" i="8" a="1"/>
  <c r="H33" i="8" s="1"/>
  <c r="D48" i="8"/>
  <c r="D38" i="8"/>
  <c r="B45" i="8"/>
  <c r="C48" i="8"/>
  <c r="C38" i="8"/>
  <c r="D35" i="8"/>
  <c r="B39" i="8"/>
  <c r="C47" i="8"/>
  <c r="C35" i="8"/>
  <c r="B46" i="8"/>
  <c r="F33" i="8" a="1"/>
  <c r="F33" i="8" s="1"/>
  <c r="B47" i="8"/>
  <c r="C39" i="8"/>
  <c r="B38" i="8"/>
  <c r="D47" i="8"/>
  <c r="D39" i="8"/>
  <c r="B48" i="8"/>
  <c r="D46" i="8"/>
  <c r="B35" i="8"/>
  <c r="C46" i="8"/>
  <c r="D33" i="8" a="1"/>
  <c r="D33" i="8" s="1"/>
  <c r="AQ17" i="8"/>
  <c r="AA17" i="8"/>
  <c r="B33" i="8" a="1"/>
  <c r="B33" i="8" s="1"/>
  <c r="C33" i="8" a="1"/>
  <c r="C33" i="8" s="1"/>
  <c r="K17" i="8"/>
  <c r="AF25" i="8"/>
  <c r="P25" i="8"/>
  <c r="AK17" i="8"/>
  <c r="AC17" i="8"/>
  <c r="U17" i="8"/>
  <c r="M17" i="8"/>
  <c r="E17" i="8"/>
  <c r="AM25" i="8"/>
  <c r="AE25" i="8"/>
  <c r="W25" i="8"/>
  <c r="O25" i="8"/>
  <c r="G25" i="8"/>
  <c r="AN25" i="8"/>
  <c r="X25" i="8"/>
  <c r="H25" i="8"/>
  <c r="AB17" i="8"/>
  <c r="L17" i="8"/>
  <c r="AD17" i="8"/>
  <c r="AL17" i="8"/>
  <c r="V17" i="8"/>
  <c r="N17" i="8"/>
  <c r="F17" i="8"/>
  <c r="V25" i="8"/>
  <c r="N25" i="8"/>
  <c r="AD25" i="8"/>
  <c r="F25" i="8"/>
  <c r="B25" i="8"/>
  <c r="AN17" i="8"/>
  <c r="AF17" i="8"/>
  <c r="X17" i="8"/>
  <c r="P17" i="8"/>
  <c r="H17" i="8"/>
  <c r="AJ17" i="8"/>
  <c r="T17" i="8"/>
  <c r="D17" i="8"/>
  <c r="AL25" i="8"/>
  <c r="AM17" i="8"/>
  <c r="AE17" i="8"/>
  <c r="W17" i="8"/>
  <c r="O17" i="8"/>
  <c r="G17" i="8"/>
  <c r="AI17" i="8"/>
  <c r="S17" i="8"/>
  <c r="C17" i="8"/>
  <c r="C31" i="16"/>
  <c r="AF25" i="16"/>
  <c r="AK25" i="16"/>
  <c r="M25" i="16"/>
  <c r="G29" i="16" a="1"/>
  <c r="G29" i="16" s="1"/>
  <c r="D31" i="16"/>
  <c r="C32" i="16"/>
  <c r="B30" i="16"/>
  <c r="AI24" i="16"/>
  <c r="S24" i="16"/>
  <c r="K24" i="16"/>
  <c r="B33" i="16"/>
  <c r="D32" i="16"/>
  <c r="AC24" i="16"/>
  <c r="E24" i="16"/>
  <c r="D30" i="16"/>
  <c r="C30" i="16"/>
  <c r="B31" i="16"/>
  <c r="AP24" i="16"/>
  <c r="AH24" i="16"/>
  <c r="Z24" i="16"/>
  <c r="R24" i="16"/>
  <c r="C33" i="16"/>
  <c r="F29" i="16" a="1"/>
  <c r="F29" i="16" s="1"/>
  <c r="D33" i="16"/>
  <c r="B25" i="16"/>
  <c r="AG24" i="16"/>
  <c r="O24" i="16"/>
  <c r="AN24" i="16"/>
  <c r="P24" i="16"/>
  <c r="AD24" i="16"/>
  <c r="F24" i="16"/>
  <c r="AE24" i="16"/>
  <c r="W24" i="16"/>
  <c r="G24" i="16"/>
  <c r="C29" i="16" a="1"/>
  <c r="C29" i="16" s="1"/>
  <c r="AQ25" i="16"/>
  <c r="AA25" i="16"/>
  <c r="AA24" i="16"/>
  <c r="J24" i="16"/>
  <c r="B29" i="16" a="1"/>
  <c r="B29" i="16" s="1"/>
  <c r="AM24" i="16"/>
  <c r="AJ25" i="16"/>
  <c r="AB24" i="16"/>
  <c r="T25" i="16"/>
  <c r="L24" i="16"/>
  <c r="D25" i="16"/>
  <c r="V24" i="16"/>
  <c r="M25" i="8"/>
  <c r="AP17" i="8"/>
  <c r="AH17" i="8"/>
  <c r="Z17" i="8"/>
  <c r="R17" i="8"/>
  <c r="J17" i="8"/>
  <c r="AO17" i="8"/>
  <c r="AG17" i="8"/>
  <c r="Y17" i="8"/>
  <c r="Q17" i="8"/>
  <c r="I17" i="8"/>
  <c r="AK25" i="8"/>
  <c r="AC25" i="8"/>
  <c r="U25" i="8"/>
  <c r="E25" i="8"/>
  <c r="AJ25" i="8"/>
  <c r="T25" i="8"/>
  <c r="L25" i="8"/>
  <c r="AQ25" i="8"/>
  <c r="AA25" i="8"/>
  <c r="S25" i="8"/>
  <c r="C25" i="8"/>
  <c r="AP25" i="8"/>
  <c r="AH25" i="8"/>
  <c r="Z25" i="8"/>
  <c r="R25" i="8"/>
  <c r="J25" i="8"/>
  <c r="AB25" i="8"/>
  <c r="D25" i="8"/>
  <c r="AI25" i="8"/>
  <c r="K25" i="8"/>
  <c r="AO25" i="8"/>
  <c r="AG25" i="8"/>
  <c r="Y25" i="8"/>
  <c r="Q25" i="8"/>
  <c r="I25" i="8"/>
  <c r="B17" i="8"/>
  <c r="D29" i="16" a="1"/>
  <c r="D29" i="16" s="1"/>
  <c r="H29" i="16" a="1"/>
  <c r="H29" i="16" s="1"/>
  <c r="S25" i="16"/>
  <c r="AI25" i="16"/>
  <c r="AQ24" i="16"/>
  <c r="AH25" i="16"/>
  <c r="C25" i="16"/>
  <c r="Y25" i="16"/>
  <c r="AO25" i="16"/>
  <c r="AG25" i="16"/>
  <c r="Q25" i="16"/>
  <c r="I25" i="16"/>
  <c r="J25" i="16"/>
  <c r="H25" i="16"/>
  <c r="R25" i="16"/>
  <c r="AP25" i="16"/>
  <c r="B36" i="16"/>
  <c r="C36" i="16"/>
  <c r="L25" i="16"/>
  <c r="AB25" i="16"/>
  <c r="E25" i="16"/>
  <c r="AC25" i="16"/>
  <c r="D24" i="16"/>
  <c r="T24" i="16"/>
  <c r="AJ24" i="16"/>
  <c r="P25" i="16"/>
  <c r="D36" i="16"/>
  <c r="AF24" i="16"/>
  <c r="N25" i="16"/>
  <c r="M24" i="16"/>
  <c r="U24" i="16"/>
  <c r="AK24" i="16"/>
  <c r="B24" i="16"/>
  <c r="F25" i="16"/>
  <c r="V25" i="16"/>
  <c r="AD25" i="16"/>
  <c r="AL25" i="16"/>
  <c r="N24" i="16"/>
  <c r="Z25" i="16"/>
  <c r="B12" i="5"/>
  <c r="B5" i="10"/>
  <c r="B11" i="10" s="1"/>
  <c r="B7" i="10"/>
  <c r="B6" i="10"/>
  <c r="C4" i="10"/>
  <c r="D25" i="6" l="1"/>
  <c r="D26" i="6" s="1"/>
  <c r="C49" i="8"/>
  <c r="B26" i="8"/>
  <c r="B29" i="8"/>
  <c r="C34" i="16"/>
  <c r="C35" i="16" s="1"/>
  <c r="D34" i="16"/>
  <c r="D35" i="16" s="1"/>
  <c r="D37" i="16"/>
  <c r="C37" i="16"/>
  <c r="B42" i="8"/>
  <c r="D42" i="8"/>
  <c r="D49" i="8"/>
  <c r="C42" i="8"/>
  <c r="B34" i="16"/>
  <c r="B35" i="16" s="1"/>
  <c r="B37" i="16"/>
  <c r="B10" i="10"/>
  <c r="B12" i="10"/>
  <c r="B13" i="10"/>
  <c r="B26" i="10"/>
  <c r="B14" i="10"/>
  <c r="B33" i="10"/>
  <c r="B25" i="10"/>
  <c r="B34" i="10"/>
  <c r="B23" i="10"/>
  <c r="B21" i="10"/>
  <c r="B27" i="10"/>
  <c r="B16" i="10"/>
  <c r="B15" i="10"/>
  <c r="B32" i="10"/>
  <c r="B31" i="10"/>
  <c r="B20" i="10"/>
  <c r="B19" i="10"/>
  <c r="B30" i="10"/>
  <c r="C5" i="10"/>
  <c r="C11" i="10" s="1"/>
  <c r="C7" i="10"/>
  <c r="C6" i="10"/>
  <c r="D4" i="10"/>
  <c r="C20" i="8" l="1"/>
  <c r="B19" i="7"/>
  <c r="B22" i="7" s="1"/>
  <c r="B22" i="10"/>
  <c r="B24" i="10"/>
  <c r="C12" i="10"/>
  <c r="C13" i="10"/>
  <c r="C10" i="10"/>
  <c r="C14" i="10"/>
  <c r="C20" i="10"/>
  <c r="C19" i="10"/>
  <c r="C21" i="10"/>
  <c r="C16" i="10"/>
  <c r="C23" i="10"/>
  <c r="C31" i="10"/>
  <c r="C15" i="10"/>
  <c r="C27" i="10"/>
  <c r="C33" i="10"/>
  <c r="C32" i="10"/>
  <c r="C26" i="10"/>
  <c r="C34" i="10"/>
  <c r="C30" i="10"/>
  <c r="C25" i="10"/>
  <c r="E4" i="10"/>
  <c r="E5" i="10" s="1"/>
  <c r="E11" i="10" s="1"/>
  <c r="D7" i="10"/>
  <c r="D6" i="10"/>
  <c r="D5" i="10"/>
  <c r="D11" i="10" s="1"/>
  <c r="C17" i="7" l="1"/>
  <c r="C26" i="8"/>
  <c r="C22" i="10"/>
  <c r="C24" i="10"/>
  <c r="D12" i="10"/>
  <c r="D13" i="10"/>
  <c r="E13" i="10"/>
  <c r="E12" i="10"/>
  <c r="E10" i="10"/>
  <c r="E21" i="10"/>
  <c r="E15" i="10"/>
  <c r="E14" i="10"/>
  <c r="E23" i="10"/>
  <c r="E33" i="10"/>
  <c r="E26" i="10"/>
  <c r="E19" i="10"/>
  <c r="E30" i="10"/>
  <c r="E25" i="10"/>
  <c r="E34" i="10"/>
  <c r="E20" i="10"/>
  <c r="E32" i="10"/>
  <c r="E31" i="10"/>
  <c r="E27" i="10"/>
  <c r="E16" i="10"/>
  <c r="D10" i="10"/>
  <c r="D16" i="10"/>
  <c r="D14" i="10"/>
  <c r="D23" i="10"/>
  <c r="D20" i="10"/>
  <c r="D26" i="10"/>
  <c r="D19" i="10"/>
  <c r="D31" i="10"/>
  <c r="D15" i="10"/>
  <c r="D25" i="10"/>
  <c r="D34" i="10"/>
  <c r="D21" i="10"/>
  <c r="D32" i="10"/>
  <c r="D33" i="10"/>
  <c r="D27" i="10"/>
  <c r="D30" i="10"/>
  <c r="F4" i="10"/>
  <c r="E6" i="10"/>
  <c r="E7" i="10"/>
  <c r="D20" i="8" l="1"/>
  <c r="C19" i="7"/>
  <c r="C29" i="8"/>
  <c r="C23" i="7"/>
  <c r="C22" i="7"/>
  <c r="D24" i="10"/>
  <c r="D22" i="10"/>
  <c r="E22" i="10"/>
  <c r="E24" i="10"/>
  <c r="G4" i="10"/>
  <c r="F7" i="10"/>
  <c r="F6" i="10"/>
  <c r="F5" i="10"/>
  <c r="F11" i="10" s="1"/>
  <c r="D17" i="7" l="1"/>
  <c r="D26" i="8"/>
  <c r="F12" i="10"/>
  <c r="F13" i="10"/>
  <c r="F10" i="10"/>
  <c r="F15" i="10"/>
  <c r="F14" i="10"/>
  <c r="F20" i="10"/>
  <c r="F25" i="10"/>
  <c r="F30" i="10"/>
  <c r="F23" i="10"/>
  <c r="F33" i="10"/>
  <c r="F26" i="10"/>
  <c r="F27" i="10"/>
  <c r="F19" i="10"/>
  <c r="F34" i="10"/>
  <c r="F31" i="10"/>
  <c r="F16" i="10"/>
  <c r="F32" i="10"/>
  <c r="F21" i="10"/>
  <c r="H4" i="10"/>
  <c r="G6" i="10"/>
  <c r="G7" i="10"/>
  <c r="G5" i="10"/>
  <c r="G11" i="10" s="1"/>
  <c r="E20" i="8" l="1"/>
  <c r="D19" i="7"/>
  <c r="D23" i="7"/>
  <c r="D22" i="7"/>
  <c r="D29" i="8"/>
  <c r="F22" i="10"/>
  <c r="F24" i="10"/>
  <c r="G13" i="10"/>
  <c r="G12" i="10"/>
  <c r="G10" i="10"/>
  <c r="G15" i="10"/>
  <c r="G14" i="10"/>
  <c r="G16" i="10"/>
  <c r="G20" i="10"/>
  <c r="G25" i="10"/>
  <c r="G30" i="10"/>
  <c r="G23" i="10"/>
  <c r="G33" i="10"/>
  <c r="G27" i="10"/>
  <c r="G19" i="10"/>
  <c r="G34" i="10"/>
  <c r="G26" i="10"/>
  <c r="G32" i="10"/>
  <c r="G21" i="10"/>
  <c r="G31" i="10"/>
  <c r="I4" i="10"/>
  <c r="H6" i="10"/>
  <c r="H7" i="10"/>
  <c r="H5" i="10"/>
  <c r="H11" i="10" s="1"/>
  <c r="E17" i="7" l="1"/>
  <c r="E26" i="8"/>
  <c r="G22" i="10"/>
  <c r="G24" i="10"/>
  <c r="H13" i="10"/>
  <c r="H12" i="10"/>
  <c r="H10" i="10"/>
  <c r="H20" i="10"/>
  <c r="H15" i="10"/>
  <c r="H21" i="10"/>
  <c r="H32" i="10"/>
  <c r="H14" i="10"/>
  <c r="H16" i="10"/>
  <c r="H25" i="10"/>
  <c r="H31" i="10"/>
  <c r="H19" i="10"/>
  <c r="H30" i="10"/>
  <c r="H23" i="10"/>
  <c r="H27" i="10"/>
  <c r="H33" i="10"/>
  <c r="H34" i="10"/>
  <c r="H26" i="10"/>
  <c r="J4" i="10"/>
  <c r="I6" i="10"/>
  <c r="I7" i="10"/>
  <c r="I5" i="10"/>
  <c r="I11" i="10" s="1"/>
  <c r="F20" i="8" l="1"/>
  <c r="E19" i="7"/>
  <c r="E23" i="7"/>
  <c r="E22" i="7"/>
  <c r="E29" i="8"/>
  <c r="H24" i="10"/>
  <c r="H22" i="10"/>
  <c r="I12" i="10"/>
  <c r="I13" i="10"/>
  <c r="I10" i="10"/>
  <c r="I19" i="10"/>
  <c r="I27" i="10"/>
  <c r="I21" i="10"/>
  <c r="I32" i="10"/>
  <c r="I14" i="10"/>
  <c r="I16" i="10"/>
  <c r="I20" i="10"/>
  <c r="I31" i="10"/>
  <c r="I25" i="10"/>
  <c r="I30" i="10"/>
  <c r="I23" i="10"/>
  <c r="I33" i="10"/>
  <c r="I15" i="10"/>
  <c r="I34" i="10"/>
  <c r="I26" i="10"/>
  <c r="J5" i="10"/>
  <c r="J11" i="10" s="1"/>
  <c r="J6" i="10"/>
  <c r="J7" i="10"/>
  <c r="K4" i="10"/>
  <c r="F17" i="7" l="1"/>
  <c r="F26" i="8"/>
  <c r="I22" i="10"/>
  <c r="I24" i="10"/>
  <c r="J13" i="10"/>
  <c r="J12" i="10"/>
  <c r="J14" i="10"/>
  <c r="J10" i="10"/>
  <c r="J15" i="10"/>
  <c r="J16" i="10"/>
  <c r="J19" i="10"/>
  <c r="J25" i="10"/>
  <c r="J27" i="10"/>
  <c r="J21" i="10"/>
  <c r="J30" i="10"/>
  <c r="J23" i="10"/>
  <c r="J31" i="10"/>
  <c r="J20" i="10"/>
  <c r="J26" i="10"/>
  <c r="J33" i="10"/>
  <c r="J32" i="10"/>
  <c r="J34" i="10"/>
  <c r="K7" i="10"/>
  <c r="K6" i="10"/>
  <c r="K5" i="10"/>
  <c r="K11" i="10" s="1"/>
  <c r="L4" i="10"/>
  <c r="G20" i="8" l="1"/>
  <c r="F19" i="7"/>
  <c r="F29" i="8"/>
  <c r="F23" i="7"/>
  <c r="F22" i="7"/>
  <c r="J24" i="10"/>
  <c r="J22" i="10"/>
  <c r="K12" i="10"/>
  <c r="K13" i="10"/>
  <c r="K10" i="10"/>
  <c r="K14" i="10"/>
  <c r="K15" i="10"/>
  <c r="K16" i="10"/>
  <c r="K21" i="10"/>
  <c r="K31" i="10"/>
  <c r="K27" i="10"/>
  <c r="K26" i="10"/>
  <c r="K32" i="10"/>
  <c r="K25" i="10"/>
  <c r="K19" i="10"/>
  <c r="K22" i="10" s="1"/>
  <c r="K30" i="10"/>
  <c r="K34" i="10"/>
  <c r="K33" i="10"/>
  <c r="K23" i="10"/>
  <c r="K20" i="10"/>
  <c r="L7" i="10"/>
  <c r="L6" i="10"/>
  <c r="L5" i="10"/>
  <c r="L11" i="10" s="1"/>
  <c r="M4" i="10"/>
  <c r="G17" i="7" l="1"/>
  <c r="G26" i="8"/>
  <c r="K24" i="10"/>
  <c r="L13" i="10"/>
  <c r="L12" i="10"/>
  <c r="L16" i="10"/>
  <c r="L10" i="10"/>
  <c r="L14" i="10"/>
  <c r="L19" i="10"/>
  <c r="L20" i="10"/>
  <c r="L23" i="10"/>
  <c r="L21" i="10"/>
  <c r="L26" i="10"/>
  <c r="L31" i="10"/>
  <c r="L15" i="10"/>
  <c r="L33" i="10"/>
  <c r="L34" i="10"/>
  <c r="L27" i="10"/>
  <c r="L32" i="10"/>
  <c r="L25" i="10"/>
  <c r="L30" i="10"/>
  <c r="M7" i="10"/>
  <c r="M6" i="10"/>
  <c r="N4" i="10"/>
  <c r="M5" i="10"/>
  <c r="M11" i="10" s="1"/>
  <c r="H20" i="8" l="1"/>
  <c r="G19" i="7"/>
  <c r="G23" i="7"/>
  <c r="G22" i="7"/>
  <c r="G29" i="8"/>
  <c r="L22" i="10"/>
  <c r="L24" i="10"/>
  <c r="M12" i="10"/>
  <c r="M13" i="10"/>
  <c r="M10" i="10"/>
  <c r="M21" i="10"/>
  <c r="M16" i="10"/>
  <c r="M19" i="10"/>
  <c r="M20" i="10"/>
  <c r="M23" i="10"/>
  <c r="M33" i="10"/>
  <c r="M26" i="10"/>
  <c r="M15" i="10"/>
  <c r="M34" i="10"/>
  <c r="M31" i="10"/>
  <c r="M27" i="10"/>
  <c r="M32" i="10"/>
  <c r="M14" i="10"/>
  <c r="M30" i="10"/>
  <c r="M25" i="10"/>
  <c r="N7" i="10"/>
  <c r="N6" i="10"/>
  <c r="N5" i="10"/>
  <c r="N11" i="10" s="1"/>
  <c r="O4" i="10"/>
  <c r="H17" i="7" l="1"/>
  <c r="H26" i="8"/>
  <c r="M22" i="10"/>
  <c r="M24" i="10"/>
  <c r="N12" i="10"/>
  <c r="N13" i="10"/>
  <c r="N10" i="10"/>
  <c r="N16" i="10"/>
  <c r="N30" i="10"/>
  <c r="N33" i="10"/>
  <c r="N26" i="10"/>
  <c r="N14" i="10"/>
  <c r="N15" i="10"/>
  <c r="N34" i="10"/>
  <c r="N32" i="10"/>
  <c r="N31" i="10"/>
  <c r="N21" i="10"/>
  <c r="N25" i="10"/>
  <c r="N19" i="10"/>
  <c r="N27" i="10"/>
  <c r="N20" i="10"/>
  <c r="N23" i="10"/>
  <c r="O6" i="10"/>
  <c r="O7" i="10"/>
  <c r="O5" i="10"/>
  <c r="O11" i="10" s="1"/>
  <c r="P4" i="10"/>
  <c r="I20" i="8" l="1"/>
  <c r="H19" i="7"/>
  <c r="H23" i="7"/>
  <c r="H22" i="7"/>
  <c r="H29" i="8"/>
  <c r="N24" i="10"/>
  <c r="N22" i="10"/>
  <c r="O13" i="10"/>
  <c r="O12" i="10"/>
  <c r="O10" i="10"/>
  <c r="O15" i="10"/>
  <c r="O14" i="10"/>
  <c r="O19" i="10"/>
  <c r="O23" i="10"/>
  <c r="O25" i="10"/>
  <c r="O30" i="10"/>
  <c r="O16" i="10"/>
  <c r="O21" i="10"/>
  <c r="O34" i="10"/>
  <c r="O26" i="10"/>
  <c r="O33" i="10"/>
  <c r="O32" i="10"/>
  <c r="O31" i="10"/>
  <c r="O20" i="10"/>
  <c r="O27" i="10"/>
  <c r="P6" i="10"/>
  <c r="P7" i="10"/>
  <c r="Q4" i="10"/>
  <c r="P5" i="10"/>
  <c r="P11" i="10" s="1"/>
  <c r="I17" i="7" l="1"/>
  <c r="I26" i="8"/>
  <c r="O24" i="10"/>
  <c r="O22" i="10"/>
  <c r="P12" i="10"/>
  <c r="P13" i="10"/>
  <c r="P20" i="10"/>
  <c r="P10" i="10"/>
  <c r="P14" i="10"/>
  <c r="P32" i="10"/>
  <c r="P19" i="10"/>
  <c r="P23" i="10"/>
  <c r="P25" i="10"/>
  <c r="P16" i="10"/>
  <c r="P21" i="10"/>
  <c r="P26" i="10"/>
  <c r="P33" i="10"/>
  <c r="P15" i="10"/>
  <c r="P34" i="10"/>
  <c r="P31" i="10"/>
  <c r="P30" i="10"/>
  <c r="P27" i="10"/>
  <c r="Q6" i="10"/>
  <c r="Q7" i="10"/>
  <c r="R4" i="10"/>
  <c r="Q5" i="10"/>
  <c r="Q11" i="10" s="1"/>
  <c r="I19" i="7" l="1"/>
  <c r="J20" i="8"/>
  <c r="I23" i="7"/>
  <c r="I22" i="7"/>
  <c r="I29" i="8"/>
  <c r="P24" i="10"/>
  <c r="P22" i="10"/>
  <c r="Q12" i="10"/>
  <c r="Q13" i="10"/>
  <c r="Q10" i="10"/>
  <c r="Q19" i="10"/>
  <c r="Q15" i="10"/>
  <c r="Q14" i="10"/>
  <c r="Q27" i="10"/>
  <c r="Q32" i="10"/>
  <c r="Q23" i="10"/>
  <c r="Q25" i="10"/>
  <c r="Q20" i="10"/>
  <c r="Q30" i="10"/>
  <c r="Q26" i="10"/>
  <c r="Q16" i="10"/>
  <c r="Q21" i="10"/>
  <c r="Q33" i="10"/>
  <c r="Q34" i="10"/>
  <c r="Q31" i="10"/>
  <c r="R6" i="10"/>
  <c r="R7" i="10"/>
  <c r="R5" i="10"/>
  <c r="R11" i="10" s="1"/>
  <c r="S4" i="10"/>
  <c r="J17" i="7" l="1"/>
  <c r="J26" i="8"/>
  <c r="J29" i="8" s="1"/>
  <c r="Q24" i="10"/>
  <c r="Q22" i="10"/>
  <c r="R13" i="10"/>
  <c r="R12" i="10"/>
  <c r="R14" i="10"/>
  <c r="R10" i="10"/>
  <c r="R15" i="10"/>
  <c r="R20" i="10"/>
  <c r="R27" i="10"/>
  <c r="R19" i="10"/>
  <c r="R31" i="10"/>
  <c r="R16" i="10"/>
  <c r="R21" i="10"/>
  <c r="R30" i="10"/>
  <c r="R26" i="10"/>
  <c r="R32" i="10"/>
  <c r="R34" i="10"/>
  <c r="R33" i="10"/>
  <c r="R25" i="10"/>
  <c r="R23" i="10"/>
  <c r="S7" i="10"/>
  <c r="S6" i="10"/>
  <c r="T4" i="10"/>
  <c r="S5" i="10"/>
  <c r="S11" i="10" s="1"/>
  <c r="J19" i="7" l="1"/>
  <c r="K20" i="8"/>
  <c r="J22" i="7"/>
  <c r="J23" i="7"/>
  <c r="R24" i="10"/>
  <c r="R22" i="10"/>
  <c r="S12" i="10"/>
  <c r="S13" i="10"/>
  <c r="S10" i="10"/>
  <c r="S15" i="10"/>
  <c r="S16" i="10"/>
  <c r="S19" i="10"/>
  <c r="S21" i="10"/>
  <c r="S31" i="10"/>
  <c r="S20" i="10"/>
  <c r="S27" i="10"/>
  <c r="S23" i="10"/>
  <c r="S25" i="10"/>
  <c r="S30" i="10"/>
  <c r="S14" i="10"/>
  <c r="S26" i="10"/>
  <c r="S32" i="10"/>
  <c r="S34" i="10"/>
  <c r="S33" i="10"/>
  <c r="T6" i="10"/>
  <c r="T7" i="10"/>
  <c r="T5" i="10"/>
  <c r="T11" i="10" s="1"/>
  <c r="U4" i="10"/>
  <c r="K17" i="7" l="1"/>
  <c r="K26" i="8"/>
  <c r="S22" i="10"/>
  <c r="S24" i="10"/>
  <c r="T12" i="10"/>
  <c r="T13" i="10"/>
  <c r="T16" i="10"/>
  <c r="T14" i="10"/>
  <c r="T15" i="10"/>
  <c r="T21" i="10"/>
  <c r="T23" i="10"/>
  <c r="T10" i="10"/>
  <c r="T26" i="10"/>
  <c r="T31" i="10"/>
  <c r="T20" i="10"/>
  <c r="T27" i="10"/>
  <c r="T34" i="10"/>
  <c r="T25" i="10"/>
  <c r="T30" i="10"/>
  <c r="T19" i="10"/>
  <c r="T32" i="10"/>
  <c r="T33" i="10"/>
  <c r="U7" i="10"/>
  <c r="U6" i="10"/>
  <c r="U5" i="10"/>
  <c r="U11" i="10" s="1"/>
  <c r="V4" i="10"/>
  <c r="L20" i="8" l="1"/>
  <c r="K19" i="7"/>
  <c r="K29" i="8"/>
  <c r="K23" i="7"/>
  <c r="K22" i="7"/>
  <c r="T24" i="10"/>
  <c r="T22" i="10"/>
  <c r="U12" i="10"/>
  <c r="U13" i="10"/>
  <c r="U14" i="10"/>
  <c r="U21" i="10"/>
  <c r="U20" i="10"/>
  <c r="U23" i="10"/>
  <c r="U15" i="10"/>
  <c r="U10" i="10"/>
  <c r="U33" i="10"/>
  <c r="U26" i="10"/>
  <c r="U32" i="10"/>
  <c r="U30" i="10"/>
  <c r="U27" i="10"/>
  <c r="U31" i="10"/>
  <c r="U34" i="10"/>
  <c r="U16" i="10"/>
  <c r="U25" i="10"/>
  <c r="U19" i="10"/>
  <c r="V7" i="10"/>
  <c r="V6" i="10"/>
  <c r="V5" i="10"/>
  <c r="V11" i="10" s="1"/>
  <c r="W4" i="10"/>
  <c r="L17" i="7" l="1"/>
  <c r="L26" i="8"/>
  <c r="U24" i="10"/>
  <c r="U22" i="10"/>
  <c r="V12" i="10"/>
  <c r="V13" i="10"/>
  <c r="V16" i="10"/>
  <c r="V19" i="10"/>
  <c r="V20" i="10"/>
  <c r="V21" i="10"/>
  <c r="V15" i="10"/>
  <c r="V30" i="10"/>
  <c r="V10" i="10"/>
  <c r="V33" i="10"/>
  <c r="V26" i="10"/>
  <c r="V23" i="10"/>
  <c r="V32" i="10"/>
  <c r="V34" i="10"/>
  <c r="V27" i="10"/>
  <c r="V31" i="10"/>
  <c r="V25" i="10"/>
  <c r="V14" i="10"/>
  <c r="W6" i="10"/>
  <c r="W7" i="10"/>
  <c r="W5" i="10"/>
  <c r="W11" i="10" s="1"/>
  <c r="X4" i="10"/>
  <c r="M20" i="8" l="1"/>
  <c r="L19" i="7"/>
  <c r="L23" i="7"/>
  <c r="L22" i="7"/>
  <c r="L29" i="8"/>
  <c r="V22" i="10"/>
  <c r="V24" i="10"/>
  <c r="W13" i="10"/>
  <c r="W12" i="10"/>
  <c r="W10" i="10"/>
  <c r="W15" i="10"/>
  <c r="W16" i="10"/>
  <c r="W19" i="10"/>
  <c r="W25" i="10"/>
  <c r="W21" i="10"/>
  <c r="W30" i="10"/>
  <c r="W31" i="10"/>
  <c r="W20" i="10"/>
  <c r="W34" i="10"/>
  <c r="W23" i="10"/>
  <c r="W32" i="10"/>
  <c r="W27" i="10"/>
  <c r="W33" i="10"/>
  <c r="W26" i="10"/>
  <c r="W14" i="10"/>
  <c r="X6" i="10"/>
  <c r="X7" i="10"/>
  <c r="Y4" i="10"/>
  <c r="X5" i="10"/>
  <c r="X11" i="10" s="1"/>
  <c r="M17" i="7" l="1"/>
  <c r="M26" i="8"/>
  <c r="W24" i="10"/>
  <c r="W22" i="10"/>
  <c r="X13" i="10"/>
  <c r="X12" i="10"/>
  <c r="X20" i="10"/>
  <c r="X16" i="10"/>
  <c r="X14" i="10"/>
  <c r="X32" i="10"/>
  <c r="X15" i="10"/>
  <c r="X25" i="10"/>
  <c r="X10" i="10"/>
  <c r="X21" i="10"/>
  <c r="X19" i="10"/>
  <c r="X22" i="10" s="1"/>
  <c r="X33" i="10"/>
  <c r="X27" i="10"/>
  <c r="X23" i="10"/>
  <c r="X31" i="10"/>
  <c r="X34" i="10"/>
  <c r="X26" i="10"/>
  <c r="X30" i="10"/>
  <c r="Y6" i="10"/>
  <c r="Y7" i="10"/>
  <c r="Y5" i="10"/>
  <c r="Y11" i="10" s="1"/>
  <c r="Z4" i="10"/>
  <c r="M19" i="7" l="1"/>
  <c r="B37" i="7" s="1"/>
  <c r="B40" i="7" s="1"/>
  <c r="N20" i="8"/>
  <c r="B50" i="8"/>
  <c r="M23" i="7"/>
  <c r="M22" i="7"/>
  <c r="M29" i="8"/>
  <c r="X24" i="10"/>
  <c r="Y13" i="10"/>
  <c r="Y12" i="10"/>
  <c r="Y10" i="10"/>
  <c r="Y16" i="10"/>
  <c r="Y23" i="10"/>
  <c r="Y27" i="10"/>
  <c r="Y14" i="10"/>
  <c r="Y32" i="10"/>
  <c r="Y15" i="10"/>
  <c r="Y25" i="10"/>
  <c r="Y26" i="10"/>
  <c r="Y19" i="10"/>
  <c r="Y33" i="10"/>
  <c r="Y20" i="10"/>
  <c r="Y21" i="10"/>
  <c r="Y31" i="10"/>
  <c r="Y34" i="10"/>
  <c r="Y30" i="10"/>
  <c r="Z6" i="10"/>
  <c r="Z7" i="10"/>
  <c r="Z5" i="10"/>
  <c r="Z11" i="10" s="1"/>
  <c r="AA4" i="10"/>
  <c r="N17" i="7" l="1"/>
  <c r="C35" i="7" s="1"/>
  <c r="N26" i="8"/>
  <c r="C45" i="8"/>
  <c r="C54" i="8" s="1"/>
  <c r="Y24" i="10"/>
  <c r="Y22" i="10"/>
  <c r="Z13" i="10"/>
  <c r="Z12" i="10"/>
  <c r="Z14" i="10"/>
  <c r="Z10" i="10"/>
  <c r="Z16" i="10"/>
  <c r="Z23" i="10"/>
  <c r="Z27" i="10"/>
  <c r="Z32" i="10"/>
  <c r="Z15" i="10"/>
  <c r="Z26" i="10"/>
  <c r="Z25" i="10"/>
  <c r="Z19" i="10"/>
  <c r="Z33" i="10"/>
  <c r="Z20" i="10"/>
  <c r="Z31" i="10"/>
  <c r="Z30" i="10"/>
  <c r="Z21" i="10"/>
  <c r="Z34" i="10"/>
  <c r="AA7" i="10"/>
  <c r="AA6" i="10"/>
  <c r="AA5" i="10"/>
  <c r="AA11" i="10" s="1"/>
  <c r="AB4" i="10"/>
  <c r="C41" i="7" l="1"/>
  <c r="N19" i="7"/>
  <c r="N22" i="7" s="1"/>
  <c r="O20" i="8"/>
  <c r="N29" i="8"/>
  <c r="N23" i="7"/>
  <c r="Z22" i="10"/>
  <c r="Z24" i="10"/>
  <c r="AA12" i="10"/>
  <c r="AA13" i="10"/>
  <c r="AA10" i="10"/>
  <c r="AA19" i="10"/>
  <c r="AA14" i="10"/>
  <c r="AA31" i="10"/>
  <c r="AA16" i="10"/>
  <c r="AA23" i="10"/>
  <c r="AA27" i="10"/>
  <c r="AA30" i="10"/>
  <c r="AA20" i="10"/>
  <c r="AA32" i="10"/>
  <c r="AA33" i="10"/>
  <c r="AA26" i="10"/>
  <c r="AA34" i="10"/>
  <c r="AA15" i="10"/>
  <c r="AA21" i="10"/>
  <c r="AA25" i="10"/>
  <c r="AB7" i="10"/>
  <c r="AB6" i="10"/>
  <c r="AC4" i="10"/>
  <c r="AB5" i="10"/>
  <c r="AB11" i="10" s="1"/>
  <c r="O17" i="7" l="1"/>
  <c r="O26" i="8"/>
  <c r="AA22" i="10"/>
  <c r="AA24" i="10"/>
  <c r="AB12" i="10"/>
  <c r="AB13" i="10"/>
  <c r="AB16" i="10"/>
  <c r="AB10" i="10"/>
  <c r="AB15" i="10"/>
  <c r="AB23" i="10"/>
  <c r="AB14" i="10"/>
  <c r="AB19" i="10"/>
  <c r="AB26" i="10"/>
  <c r="AB31" i="10"/>
  <c r="AB34" i="10"/>
  <c r="AB30" i="10"/>
  <c r="AB25" i="10"/>
  <c r="AB32" i="10"/>
  <c r="AB27" i="10"/>
  <c r="AB33" i="10"/>
  <c r="AB21" i="10"/>
  <c r="AB20" i="10"/>
  <c r="AC6" i="10"/>
  <c r="AC7" i="10"/>
  <c r="AC5" i="10"/>
  <c r="AC11" i="10" s="1"/>
  <c r="AD4" i="10"/>
  <c r="P20" i="8" l="1"/>
  <c r="O19" i="7"/>
  <c r="O23" i="7"/>
  <c r="O22" i="7"/>
  <c r="O29" i="8"/>
  <c r="AB24" i="10"/>
  <c r="AB22" i="10"/>
  <c r="AC13" i="10"/>
  <c r="AC12" i="10"/>
  <c r="AC14" i="10"/>
  <c r="AC10" i="10"/>
  <c r="AC15" i="10"/>
  <c r="AC16" i="10"/>
  <c r="AC21" i="10"/>
  <c r="AC23" i="10"/>
  <c r="AC20" i="10"/>
  <c r="AC33" i="10"/>
  <c r="AC19" i="10"/>
  <c r="AC26" i="10"/>
  <c r="AC34" i="10"/>
  <c r="AC30" i="10"/>
  <c r="AC25" i="10"/>
  <c r="AC32" i="10"/>
  <c r="AC31" i="10"/>
  <c r="AC27" i="10"/>
  <c r="AD7" i="10"/>
  <c r="AD6" i="10"/>
  <c r="AD5" i="10"/>
  <c r="AD11" i="10" s="1"/>
  <c r="AE4" i="10"/>
  <c r="P17" i="7" l="1"/>
  <c r="P26" i="8"/>
  <c r="AC24" i="10"/>
  <c r="AC22" i="10"/>
  <c r="AD12" i="10"/>
  <c r="AD13" i="10"/>
  <c r="AD14" i="10"/>
  <c r="AD15" i="10"/>
  <c r="AD20" i="10"/>
  <c r="AD21" i="10"/>
  <c r="AD30" i="10"/>
  <c r="AD33" i="10"/>
  <c r="AD19" i="10"/>
  <c r="AD26" i="10"/>
  <c r="AD10" i="10"/>
  <c r="AD25" i="10"/>
  <c r="AD31" i="10"/>
  <c r="AD23" i="10"/>
  <c r="AD34" i="10"/>
  <c r="AD27" i="10"/>
  <c r="AD16" i="10"/>
  <c r="AD32" i="10"/>
  <c r="AE6" i="10"/>
  <c r="AE7" i="10"/>
  <c r="AF4" i="10"/>
  <c r="AE5" i="10"/>
  <c r="AE11" i="10" s="1"/>
  <c r="Q20" i="8" l="1"/>
  <c r="P19" i="7"/>
  <c r="P23" i="7"/>
  <c r="P22" i="7"/>
  <c r="P29" i="8"/>
  <c r="AD24" i="10"/>
  <c r="AD22" i="10"/>
  <c r="AE13" i="10"/>
  <c r="AE12" i="10"/>
  <c r="AE10" i="10"/>
  <c r="AE15" i="10"/>
  <c r="AE19" i="10"/>
  <c r="AE20" i="10"/>
  <c r="AE21" i="10"/>
  <c r="AE14" i="10"/>
  <c r="AE25" i="10"/>
  <c r="AE30" i="10"/>
  <c r="AE27" i="10"/>
  <c r="AE32" i="10"/>
  <c r="AE31" i="10"/>
  <c r="AE26" i="10"/>
  <c r="AE34" i="10"/>
  <c r="AE23" i="10"/>
  <c r="AE33" i="10"/>
  <c r="AE16" i="10"/>
  <c r="AF6" i="10"/>
  <c r="AF7" i="10"/>
  <c r="AG4" i="10"/>
  <c r="AF5" i="10"/>
  <c r="AF11" i="10" s="1"/>
  <c r="Q17" i="7" l="1"/>
  <c r="Q26" i="8"/>
  <c r="Q29" i="8" s="1"/>
  <c r="AE22" i="10"/>
  <c r="AE24" i="10"/>
  <c r="AF13" i="10"/>
  <c r="AF12" i="10"/>
  <c r="AF20" i="10"/>
  <c r="AF16" i="10"/>
  <c r="AF15" i="10"/>
  <c r="AF19" i="10"/>
  <c r="AF32" i="10"/>
  <c r="AF25" i="10"/>
  <c r="AF14" i="10"/>
  <c r="AF21" i="10"/>
  <c r="AF26" i="10"/>
  <c r="AF10" i="10"/>
  <c r="AF27" i="10"/>
  <c r="AF31" i="10"/>
  <c r="AF30" i="10"/>
  <c r="AF23" i="10"/>
  <c r="AF34" i="10"/>
  <c r="AF33" i="10"/>
  <c r="AG7" i="10"/>
  <c r="AG6" i="10"/>
  <c r="AH4" i="10"/>
  <c r="AG5" i="10"/>
  <c r="AG11" i="10" s="1"/>
  <c r="Q19" i="7" l="1"/>
  <c r="Q22" i="7" s="1"/>
  <c r="R20" i="8"/>
  <c r="Q23" i="7"/>
  <c r="AF24" i="10"/>
  <c r="AF22" i="10"/>
  <c r="AG12" i="10"/>
  <c r="AG13" i="10"/>
  <c r="AG10" i="10"/>
  <c r="AG16" i="10"/>
  <c r="AG15" i="10"/>
  <c r="AG21" i="10"/>
  <c r="AG27" i="10"/>
  <c r="AG20" i="10"/>
  <c r="AG32" i="10"/>
  <c r="AG25" i="10"/>
  <c r="AG14" i="10"/>
  <c r="AG19" i="10"/>
  <c r="AG31" i="10"/>
  <c r="AG30" i="10"/>
  <c r="AG26" i="10"/>
  <c r="AG34" i="10"/>
  <c r="AG23" i="10"/>
  <c r="AG33" i="10"/>
  <c r="AH6" i="10"/>
  <c r="AH7" i="10"/>
  <c r="AH5" i="10"/>
  <c r="AH11" i="10" s="1"/>
  <c r="AI4" i="10"/>
  <c r="R17" i="7" l="1"/>
  <c r="R26" i="8"/>
  <c r="R29" i="8" s="1"/>
  <c r="AG22" i="10"/>
  <c r="AG24" i="10"/>
  <c r="AH13" i="10"/>
  <c r="AH12" i="10"/>
  <c r="AH14" i="10"/>
  <c r="AH10" i="10"/>
  <c r="AH16" i="10"/>
  <c r="AH21" i="10"/>
  <c r="AH27" i="10"/>
  <c r="AH20" i="10"/>
  <c r="AH23" i="10"/>
  <c r="AH33" i="10"/>
  <c r="AH25" i="10"/>
  <c r="AH32" i="10"/>
  <c r="AH19" i="10"/>
  <c r="AH31" i="10"/>
  <c r="AH34" i="10"/>
  <c r="AH15" i="10"/>
  <c r="AH26" i="10"/>
  <c r="AH30" i="10"/>
  <c r="AI7" i="10"/>
  <c r="AI6" i="10"/>
  <c r="AI5" i="10"/>
  <c r="AI11" i="10" s="1"/>
  <c r="AJ4" i="10"/>
  <c r="S20" i="8" l="1"/>
  <c r="R19" i="7"/>
  <c r="R22" i="7" s="1"/>
  <c r="R23" i="7"/>
  <c r="AH22" i="10"/>
  <c r="AH24" i="10"/>
  <c r="AI12" i="10"/>
  <c r="AI13" i="10"/>
  <c r="AI10" i="10"/>
  <c r="AI19" i="10"/>
  <c r="AI22" i="10" s="1"/>
  <c r="AI23" i="10"/>
  <c r="AI31" i="10"/>
  <c r="AI21" i="10"/>
  <c r="AI27" i="10"/>
  <c r="AI14" i="10"/>
  <c r="AI33" i="10"/>
  <c r="AI25" i="10"/>
  <c r="AI32" i="10"/>
  <c r="AI34" i="10"/>
  <c r="AI15" i="10"/>
  <c r="AI20" i="10"/>
  <c r="AI26" i="10"/>
  <c r="AI16" i="10"/>
  <c r="AI30" i="10"/>
  <c r="AJ7" i="10"/>
  <c r="AJ6" i="10"/>
  <c r="AJ5" i="10"/>
  <c r="AJ11" i="10" s="1"/>
  <c r="AK4" i="10"/>
  <c r="S17" i="7" l="1"/>
  <c r="S26" i="8"/>
  <c r="AI24" i="10"/>
  <c r="AJ12" i="10"/>
  <c r="AJ13" i="10"/>
  <c r="AJ16" i="10"/>
  <c r="AJ10" i="10"/>
  <c r="AJ23" i="10"/>
  <c r="AJ26" i="10"/>
  <c r="AJ31" i="10"/>
  <c r="AJ15" i="10"/>
  <c r="AJ34" i="10"/>
  <c r="AJ21" i="10"/>
  <c r="AJ33" i="10"/>
  <c r="AJ25" i="10"/>
  <c r="AJ14" i="10"/>
  <c r="AJ27" i="10"/>
  <c r="AJ32" i="10"/>
  <c r="AJ30" i="10"/>
  <c r="AJ20" i="10"/>
  <c r="AJ19" i="10"/>
  <c r="AK6" i="10"/>
  <c r="AK7" i="10"/>
  <c r="AK5" i="10"/>
  <c r="AK11" i="10" s="1"/>
  <c r="AL4" i="10"/>
  <c r="T20" i="8" l="1"/>
  <c r="S19" i="7"/>
  <c r="S29" i="8"/>
  <c r="S23" i="7"/>
  <c r="S22" i="7"/>
  <c r="AJ22" i="10"/>
  <c r="AJ24" i="10"/>
  <c r="AK12" i="10"/>
  <c r="AK13" i="10"/>
  <c r="AK15" i="10"/>
  <c r="AK21" i="10"/>
  <c r="AK10" i="10"/>
  <c r="AK23" i="10"/>
  <c r="AK33" i="10"/>
  <c r="AK26" i="10"/>
  <c r="AK16" i="10"/>
  <c r="AK20" i="10"/>
  <c r="AK30" i="10"/>
  <c r="AK25" i="10"/>
  <c r="AK34" i="10"/>
  <c r="AK14" i="10"/>
  <c r="AK27" i="10"/>
  <c r="AK32" i="10"/>
  <c r="AK19" i="10"/>
  <c r="AK31" i="10"/>
  <c r="AL7" i="10"/>
  <c r="AL6" i="10"/>
  <c r="AM4" i="10"/>
  <c r="AL5" i="10"/>
  <c r="AL11" i="10" s="1"/>
  <c r="T17" i="7" l="1"/>
  <c r="T26" i="8"/>
  <c r="AK22" i="10"/>
  <c r="AK24" i="10"/>
  <c r="AL12" i="10"/>
  <c r="AL13" i="10"/>
  <c r="AL14" i="10"/>
  <c r="AL15" i="10"/>
  <c r="AL16" i="10"/>
  <c r="AL10" i="10"/>
  <c r="AL30" i="10"/>
  <c r="AL23" i="10"/>
  <c r="AL33" i="10"/>
  <c r="AL26" i="10"/>
  <c r="AL20" i="10"/>
  <c r="AL34" i="10"/>
  <c r="AL21" i="10"/>
  <c r="AL27" i="10"/>
  <c r="AL19" i="10"/>
  <c r="AL25" i="10"/>
  <c r="AL31" i="10"/>
  <c r="AL32" i="10"/>
  <c r="AM6" i="10"/>
  <c r="AM7" i="10"/>
  <c r="AM5" i="10"/>
  <c r="AM11" i="10" s="1"/>
  <c r="AN4" i="10"/>
  <c r="T23" i="7" l="1"/>
  <c r="U20" i="8"/>
  <c r="T19" i="7"/>
  <c r="T22" i="7" s="1"/>
  <c r="T29" i="8"/>
  <c r="AL24" i="10"/>
  <c r="AL22" i="10"/>
  <c r="AM13" i="10"/>
  <c r="AM12" i="10"/>
  <c r="AM10" i="10"/>
  <c r="AM15" i="10"/>
  <c r="AM14" i="10"/>
  <c r="AM20" i="10"/>
  <c r="AM21" i="10"/>
  <c r="AM19" i="10"/>
  <c r="AM25" i="10"/>
  <c r="AM30" i="10"/>
  <c r="AM23" i="10"/>
  <c r="AM26" i="10"/>
  <c r="AM33" i="10"/>
  <c r="AM34" i="10"/>
  <c r="AM16" i="10"/>
  <c r="AM31" i="10"/>
  <c r="AM32" i="10"/>
  <c r="AM27" i="10"/>
  <c r="AN6" i="10"/>
  <c r="AN7" i="10"/>
  <c r="AN5" i="10"/>
  <c r="AN11" i="10" s="1"/>
  <c r="AO4" i="10"/>
  <c r="U17" i="7" l="1"/>
  <c r="U26" i="8"/>
  <c r="AM24" i="10"/>
  <c r="AM22" i="10"/>
  <c r="AN13" i="10"/>
  <c r="AN12" i="10"/>
  <c r="AN20" i="10"/>
  <c r="AN14" i="10"/>
  <c r="AN19" i="10"/>
  <c r="AN21" i="10"/>
  <c r="AN15" i="10"/>
  <c r="AN16" i="10"/>
  <c r="AN32" i="10"/>
  <c r="AN25" i="10"/>
  <c r="AN31" i="10"/>
  <c r="AN23" i="10"/>
  <c r="AN26" i="10"/>
  <c r="AN30" i="10"/>
  <c r="AN10" i="10"/>
  <c r="AN33" i="10"/>
  <c r="AN27" i="10"/>
  <c r="AN34" i="10"/>
  <c r="AO6" i="10"/>
  <c r="AO7" i="10"/>
  <c r="AP4" i="10"/>
  <c r="AO5" i="10"/>
  <c r="AO11" i="10" s="1"/>
  <c r="V20" i="8" l="1"/>
  <c r="U19" i="7"/>
  <c r="U22" i="7" s="1"/>
  <c r="U29" i="8"/>
  <c r="U23" i="7"/>
  <c r="AN22" i="10"/>
  <c r="AN24" i="10"/>
  <c r="AO12" i="10"/>
  <c r="AO13" i="10"/>
  <c r="AO10" i="10"/>
  <c r="AO14" i="10"/>
  <c r="AO19" i="10"/>
  <c r="AO20" i="10"/>
  <c r="AO27" i="10"/>
  <c r="AO15" i="10"/>
  <c r="AO16" i="10"/>
  <c r="AO32" i="10"/>
  <c r="AO25" i="10"/>
  <c r="AO31" i="10"/>
  <c r="AO23" i="10"/>
  <c r="AO26" i="10"/>
  <c r="AO30" i="10"/>
  <c r="AO21" i="10"/>
  <c r="AO33" i="10"/>
  <c r="AO34" i="10"/>
  <c r="AP6" i="10"/>
  <c r="AP7" i="10"/>
  <c r="AP5" i="10"/>
  <c r="AP11" i="10" s="1"/>
  <c r="AQ4" i="10"/>
  <c r="V17" i="7" l="1"/>
  <c r="V26" i="8"/>
  <c r="AO22" i="10"/>
  <c r="AO24" i="10"/>
  <c r="AP13" i="10"/>
  <c r="AP12" i="10"/>
  <c r="AP14" i="10"/>
  <c r="AP10" i="10"/>
  <c r="AP15" i="10"/>
  <c r="AP16" i="10"/>
  <c r="AP19" i="10"/>
  <c r="AP27" i="10"/>
  <c r="AP23" i="10"/>
  <c r="AP30" i="10"/>
  <c r="AP26" i="10"/>
  <c r="AP21" i="10"/>
  <c r="AP20" i="10"/>
  <c r="AP31" i="10"/>
  <c r="AP25" i="10"/>
  <c r="AP32" i="10"/>
  <c r="AP33" i="10"/>
  <c r="AP34" i="10"/>
  <c r="AQ7" i="10"/>
  <c r="AQ6" i="10"/>
  <c r="AR4" i="10"/>
  <c r="AQ5" i="10"/>
  <c r="V19" i="7" l="1"/>
  <c r="V22" i="7" s="1"/>
  <c r="W20" i="8"/>
  <c r="V29" i="8"/>
  <c r="V23" i="7"/>
  <c r="AQ11" i="10"/>
  <c r="AP24" i="10"/>
  <c r="AP22" i="10"/>
  <c r="AQ12" i="10"/>
  <c r="AQ13" i="10"/>
  <c r="AQ10" i="10"/>
  <c r="AQ19" i="10"/>
  <c r="AR22" i="10" s="1"/>
  <c r="AQ15" i="10"/>
  <c r="AQ16" i="10"/>
  <c r="AQ14" i="10"/>
  <c r="AQ20" i="10"/>
  <c r="AQ31" i="10"/>
  <c r="AQ27" i="10"/>
  <c r="AQ32" i="10"/>
  <c r="AQ30" i="10"/>
  <c r="AQ23" i="10"/>
  <c r="AQ26" i="10"/>
  <c r="AQ33" i="10"/>
  <c r="AQ34" i="10"/>
  <c r="AQ21" i="10"/>
  <c r="AQ25" i="10"/>
  <c r="AR7" i="10"/>
  <c r="AR6" i="10"/>
  <c r="AS4" i="10"/>
  <c r="AR5" i="10"/>
  <c r="W17" i="7" l="1"/>
  <c r="W26" i="8"/>
  <c r="AR26" i="10"/>
  <c r="AR21" i="16" s="1"/>
  <c r="AR12" i="10"/>
  <c r="AR13" i="10" s="1"/>
  <c r="AS22" i="10"/>
  <c r="AR24" i="10"/>
  <c r="AR11" i="10"/>
  <c r="AR30" i="10" s="1"/>
  <c r="AR22" i="8" s="1"/>
  <c r="AR10" i="10"/>
  <c r="AR10" i="16" s="1"/>
  <c r="AR20" i="10"/>
  <c r="AR16" i="10"/>
  <c r="AR15" i="10"/>
  <c r="AR14" i="10"/>
  <c r="AR19" i="10"/>
  <c r="AQ22" i="10"/>
  <c r="AQ24" i="10"/>
  <c r="AS7" i="10"/>
  <c r="AS6" i="10"/>
  <c r="AT4" i="10"/>
  <c r="AS5" i="10"/>
  <c r="AR11" i="7" l="1"/>
  <c r="AR13" i="16"/>
  <c r="AR24" i="8"/>
  <c r="X20" i="8"/>
  <c r="W19" i="7"/>
  <c r="W22" i="7" s="1"/>
  <c r="W23" i="7"/>
  <c r="W29" i="8"/>
  <c r="AR34" i="10"/>
  <c r="AR23" i="8" s="1"/>
  <c r="AR14" i="16"/>
  <c r="AR21" i="10"/>
  <c r="AR15" i="16" s="1"/>
  <c r="AR33" i="10"/>
  <c r="AR14" i="8" s="1"/>
  <c r="AR31" i="10"/>
  <c r="AR10" i="8" s="1"/>
  <c r="AR27" i="10"/>
  <c r="AR22" i="16" s="1"/>
  <c r="AR32" i="10"/>
  <c r="AR13" i="8" s="1"/>
  <c r="AS11" i="10"/>
  <c r="AS33" i="10" s="1"/>
  <c r="AS14" i="8" s="1"/>
  <c r="AS16" i="10"/>
  <c r="AS26" i="10"/>
  <c r="AS20" i="10"/>
  <c r="AS12" i="10"/>
  <c r="AS13" i="10" s="1"/>
  <c r="AS14" i="10"/>
  <c r="AT22" i="10"/>
  <c r="AS15" i="10"/>
  <c r="AS24" i="10"/>
  <c r="AS19" i="10"/>
  <c r="AS10" i="10"/>
  <c r="AS10" i="16" s="1"/>
  <c r="AT7" i="10"/>
  <c r="AT6" i="10"/>
  <c r="AU4" i="10"/>
  <c r="AT5" i="10"/>
  <c r="AR13" i="7" l="1"/>
  <c r="AR12" i="7"/>
  <c r="AR25" i="8"/>
  <c r="AR17" i="8"/>
  <c r="AS13" i="16"/>
  <c r="AS24" i="8"/>
  <c r="AS13" i="7" s="1"/>
  <c r="AR23" i="10"/>
  <c r="AR21" i="8" s="1"/>
  <c r="AR14" i="7"/>
  <c r="AR18" i="7" s="1"/>
  <c r="X17" i="7"/>
  <c r="X26" i="8"/>
  <c r="AT26" i="10"/>
  <c r="AT21" i="16" s="1"/>
  <c r="AS21" i="16"/>
  <c r="AR24" i="16"/>
  <c r="AT20" i="10"/>
  <c r="AT14" i="16" s="1"/>
  <c r="AS14" i="16"/>
  <c r="AR25" i="10"/>
  <c r="AR18" i="16" s="1"/>
  <c r="AS32" i="10"/>
  <c r="AS13" i="8" s="1"/>
  <c r="AT11" i="10"/>
  <c r="AT31" i="10" s="1"/>
  <c r="AT10" i="8" s="1"/>
  <c r="AS31" i="10"/>
  <c r="AS10" i="8" s="1"/>
  <c r="AS17" i="8" s="1"/>
  <c r="AS21" i="10"/>
  <c r="AT10" i="10"/>
  <c r="AT10" i="16" s="1"/>
  <c r="AS27" i="10"/>
  <c r="AS22" i="16" s="1"/>
  <c r="AT24" i="10"/>
  <c r="AT19" i="10"/>
  <c r="AT24" i="8" s="1"/>
  <c r="AT13" i="7" s="1"/>
  <c r="AT15" i="10"/>
  <c r="AU22" i="10"/>
  <c r="AT30" i="10"/>
  <c r="AT22" i="8" s="1"/>
  <c r="AT14" i="10"/>
  <c r="AT16" i="10"/>
  <c r="AS30" i="10"/>
  <c r="AS22" i="8" s="1"/>
  <c r="AS34" i="10"/>
  <c r="AS23" i="8" s="1"/>
  <c r="AS12" i="7" s="1"/>
  <c r="AT12" i="10"/>
  <c r="AT13" i="10" s="1"/>
  <c r="AU6" i="10"/>
  <c r="AU7" i="10"/>
  <c r="AU5" i="10"/>
  <c r="AV4" i="10"/>
  <c r="AR17" i="16" l="1"/>
  <c r="AR25" i="16" s="1"/>
  <c r="AT11" i="7"/>
  <c r="AS11" i="7"/>
  <c r="AS25" i="8"/>
  <c r="Y20" i="8"/>
  <c r="X19" i="7"/>
  <c r="X22" i="7" s="1"/>
  <c r="X23" i="7"/>
  <c r="X29" i="8"/>
  <c r="AT32" i="10"/>
  <c r="AT13" i="8" s="1"/>
  <c r="AT21" i="10"/>
  <c r="AT15" i="16" s="1"/>
  <c r="AT13" i="16"/>
  <c r="AT34" i="10"/>
  <c r="AT23" i="8" s="1"/>
  <c r="AT25" i="8" s="1"/>
  <c r="AS23" i="10"/>
  <c r="AS21" i="8" s="1"/>
  <c r="AS15" i="16"/>
  <c r="AS24" i="16" s="1"/>
  <c r="AU10" i="10"/>
  <c r="AU10" i="16" s="1"/>
  <c r="AT27" i="10"/>
  <c r="AT22" i="16" s="1"/>
  <c r="AU11" i="10"/>
  <c r="AU33" i="10" s="1"/>
  <c r="AU14" i="8" s="1"/>
  <c r="AU19" i="10"/>
  <c r="AU14" i="10"/>
  <c r="AU24" i="10"/>
  <c r="AV22" i="10"/>
  <c r="AU15" i="10"/>
  <c r="AU16" i="10"/>
  <c r="AU26" i="10"/>
  <c r="AU21" i="16" s="1"/>
  <c r="AU12" i="10"/>
  <c r="AU13" i="10" s="1"/>
  <c r="AT23" i="10"/>
  <c r="AT21" i="8" s="1"/>
  <c r="AT33" i="10"/>
  <c r="AT14" i="8" s="1"/>
  <c r="AU20" i="10"/>
  <c r="AV6" i="10"/>
  <c r="AV7" i="10"/>
  <c r="AV5" i="10"/>
  <c r="AW4" i="10"/>
  <c r="AT17" i="8" l="1"/>
  <c r="AU13" i="16"/>
  <c r="AU24" i="8"/>
  <c r="AS14" i="7"/>
  <c r="AS18" i="7" s="1"/>
  <c r="AT12" i="7"/>
  <c r="AT14" i="7" s="1"/>
  <c r="AT18" i="7" s="1"/>
  <c r="Y17" i="7"/>
  <c r="Y26" i="8"/>
  <c r="AS17" i="16"/>
  <c r="AS25" i="16" s="1"/>
  <c r="AS25" i="10"/>
  <c r="AS18" i="16" s="1"/>
  <c r="AV20" i="10"/>
  <c r="AV14" i="16" s="1"/>
  <c r="AU14" i="16"/>
  <c r="AT24" i="16"/>
  <c r="AT17" i="16"/>
  <c r="AT25" i="16" s="1"/>
  <c r="AT25" i="10"/>
  <c r="AT18" i="16" s="1"/>
  <c r="AU21" i="10"/>
  <c r="AU32" i="10"/>
  <c r="AU13" i="8" s="1"/>
  <c r="AV11" i="10"/>
  <c r="AV33" i="10" s="1"/>
  <c r="AV14" i="8" s="1"/>
  <c r="AV24" i="10"/>
  <c r="AV14" i="10"/>
  <c r="AW22" i="10"/>
  <c r="AV15" i="10"/>
  <c r="AV32" i="10"/>
  <c r="AV13" i="8" s="1"/>
  <c r="AV16" i="10"/>
  <c r="AV19" i="10"/>
  <c r="AV24" i="8" s="1"/>
  <c r="AV13" i="7" s="1"/>
  <c r="AV26" i="10"/>
  <c r="AV21" i="16" s="1"/>
  <c r="AV12" i="10"/>
  <c r="AV13" i="10" s="1"/>
  <c r="AU31" i="10"/>
  <c r="AU10" i="8" s="1"/>
  <c r="AU17" i="8" s="1"/>
  <c r="AU34" i="10"/>
  <c r="AU23" i="8" s="1"/>
  <c r="AU12" i="7" s="1"/>
  <c r="AU30" i="10"/>
  <c r="AU22" i="8" s="1"/>
  <c r="AV10" i="10"/>
  <c r="AV10" i="16" s="1"/>
  <c r="AU27" i="10"/>
  <c r="AU22" i="16" s="1"/>
  <c r="AW7" i="10"/>
  <c r="AW6" i="10"/>
  <c r="AW5" i="10"/>
  <c r="AX4" i="10"/>
  <c r="AW20" i="10" l="1"/>
  <c r="AW14" i="16" s="1"/>
  <c r="E32" i="16" s="1"/>
  <c r="AU11" i="7"/>
  <c r="AU25" i="8"/>
  <c r="AU13" i="7"/>
  <c r="E48" i="8"/>
  <c r="Y19" i="7"/>
  <c r="Z20" i="8"/>
  <c r="C50" i="8"/>
  <c r="C53" i="8" s="1"/>
  <c r="Y23" i="7"/>
  <c r="Y29" i="8"/>
  <c r="AV34" i="10"/>
  <c r="AV23" i="8" s="1"/>
  <c r="AV21" i="10"/>
  <c r="AV15" i="16" s="1"/>
  <c r="AV13" i="16"/>
  <c r="AV30" i="10"/>
  <c r="AV22" i="8" s="1"/>
  <c r="E46" i="8" s="1"/>
  <c r="AU23" i="10"/>
  <c r="AU21" i="8" s="1"/>
  <c r="AU15" i="16"/>
  <c r="AV31" i="10"/>
  <c r="AV10" i="8" s="1"/>
  <c r="AV17" i="8" s="1"/>
  <c r="AW11" i="10"/>
  <c r="AW30" i="10" s="1"/>
  <c r="AW22" i="8" s="1"/>
  <c r="AW10" i="10"/>
  <c r="AW10" i="16" s="1"/>
  <c r="AV27" i="10"/>
  <c r="AV22" i="16" s="1"/>
  <c r="AW32" i="10"/>
  <c r="AW13" i="8" s="1"/>
  <c r="E38" i="8" s="1"/>
  <c r="AW16" i="10"/>
  <c r="AW34" i="10"/>
  <c r="AW23" i="8" s="1"/>
  <c r="AW12" i="7" s="1"/>
  <c r="AW24" i="10"/>
  <c r="AX22" i="10"/>
  <c r="AW15" i="10"/>
  <c r="AW14" i="10"/>
  <c r="AW19" i="10"/>
  <c r="AW24" i="8" s="1"/>
  <c r="AW13" i="7" s="1"/>
  <c r="AW26" i="10"/>
  <c r="AW21" i="16" s="1"/>
  <c r="E36" i="16" s="1"/>
  <c r="AW12" i="10"/>
  <c r="AW13" i="10" s="1"/>
  <c r="AX6" i="10"/>
  <c r="AX7" i="10"/>
  <c r="AY4" i="10"/>
  <c r="AX5" i="10"/>
  <c r="AX20" i="10" s="1"/>
  <c r="AX14" i="16" s="1"/>
  <c r="AV11" i="7" l="1"/>
  <c r="AV25" i="8"/>
  <c r="Y22" i="7"/>
  <c r="C37" i="7"/>
  <c r="C40" i="7" s="1"/>
  <c r="E31" i="7"/>
  <c r="AW11" i="7"/>
  <c r="AW14" i="7" s="1"/>
  <c r="AW18" i="7" s="1"/>
  <c r="AW25" i="8"/>
  <c r="AV23" i="10"/>
  <c r="AV21" i="8" s="1"/>
  <c r="AV12" i="7"/>
  <c r="E30" i="7" s="1"/>
  <c r="E47" i="8"/>
  <c r="E49" i="8" s="1"/>
  <c r="AU14" i="7"/>
  <c r="AU18" i="7" s="1"/>
  <c r="D45" i="8"/>
  <c r="D54" i="8" s="1"/>
  <c r="Z17" i="7"/>
  <c r="D35" i="7" s="1"/>
  <c r="Z26" i="8"/>
  <c r="AV24" i="16"/>
  <c r="AW21" i="10"/>
  <c r="AW15" i="16" s="1"/>
  <c r="E33" i="16" s="1"/>
  <c r="AW13" i="16"/>
  <c r="AU17" i="16"/>
  <c r="AU25" i="16" s="1"/>
  <c r="AU25" i="10"/>
  <c r="AU18" i="16" s="1"/>
  <c r="AU24" i="16"/>
  <c r="AX10" i="10"/>
  <c r="AX10" i="16" s="1"/>
  <c r="AW27" i="10"/>
  <c r="AW22" i="16" s="1"/>
  <c r="AX11" i="10"/>
  <c r="AX31" i="10" s="1"/>
  <c r="AX10" i="8" s="1"/>
  <c r="AW23" i="10"/>
  <c r="AW21" i="8" s="1"/>
  <c r="AY22" i="10"/>
  <c r="AX15" i="10"/>
  <c r="AX32" i="10"/>
  <c r="AX13" i="8" s="1"/>
  <c r="AX16" i="10"/>
  <c r="AX34" i="10"/>
  <c r="AX23" i="8" s="1"/>
  <c r="AX24" i="10"/>
  <c r="AX14" i="10"/>
  <c r="AX19" i="10"/>
  <c r="AX24" i="8" s="1"/>
  <c r="AX26" i="10"/>
  <c r="AX21" i="16" s="1"/>
  <c r="AX12" i="10"/>
  <c r="AX13" i="10" s="1"/>
  <c r="AW31" i="10"/>
  <c r="AW10" i="8" s="1"/>
  <c r="AW33" i="10"/>
  <c r="AW14" i="8" s="1"/>
  <c r="E39" i="8" s="1"/>
  <c r="AY7" i="10"/>
  <c r="AY6" i="10"/>
  <c r="AZ4" i="10"/>
  <c r="AY5" i="10"/>
  <c r="AX12" i="7" l="1"/>
  <c r="E35" i="8"/>
  <c r="E42" i="8" s="1"/>
  <c r="AW17" i="8"/>
  <c r="E29" i="7"/>
  <c r="E32" i="7" s="1"/>
  <c r="E36" i="7" s="1"/>
  <c r="AX13" i="7"/>
  <c r="D41" i="7"/>
  <c r="AV25" i="10"/>
  <c r="AV18" i="16" s="1"/>
  <c r="AV17" i="16"/>
  <c r="AV25" i="16" s="1"/>
  <c r="AV14" i="7"/>
  <c r="AV18" i="7" s="1"/>
  <c r="Z23" i="7"/>
  <c r="AA20" i="8"/>
  <c r="Z19" i="7"/>
  <c r="Z22" i="7" s="1"/>
  <c r="Z29" i="8"/>
  <c r="AW24" i="16"/>
  <c r="AW17" i="16"/>
  <c r="AW25" i="16" s="1"/>
  <c r="AW25" i="10"/>
  <c r="AW18" i="16" s="1"/>
  <c r="AX21" i="10"/>
  <c r="AX13" i="16"/>
  <c r="AX30" i="10"/>
  <c r="AX22" i="8" s="1"/>
  <c r="AY11" i="10"/>
  <c r="AY30" i="10" s="1"/>
  <c r="AY22" i="8" s="1"/>
  <c r="AY14" i="10"/>
  <c r="AZ22" i="10"/>
  <c r="AY15" i="10"/>
  <c r="AY16" i="10"/>
  <c r="AY24" i="10"/>
  <c r="AY19" i="10"/>
  <c r="AY26" i="10"/>
  <c r="AY21" i="16" s="1"/>
  <c r="AY12" i="10"/>
  <c r="AY13" i="10" s="1"/>
  <c r="AX33" i="10"/>
  <c r="AX14" i="8" s="1"/>
  <c r="AX17" i="8" s="1"/>
  <c r="AY10" i="10"/>
  <c r="AY10" i="16" s="1"/>
  <c r="AX27" i="10"/>
  <c r="AX22" i="16" s="1"/>
  <c r="AY20" i="10"/>
  <c r="AZ7" i="10"/>
  <c r="AZ6" i="10"/>
  <c r="AZ5" i="10"/>
  <c r="BA4" i="10"/>
  <c r="AY11" i="7" l="1"/>
  <c r="AY13" i="16"/>
  <c r="AY24" i="8"/>
  <c r="AX11" i="7"/>
  <c r="AX25" i="8"/>
  <c r="AA17" i="7"/>
  <c r="AA26" i="8"/>
  <c r="AY31" i="10"/>
  <c r="AY10" i="8" s="1"/>
  <c r="AY33" i="10"/>
  <c r="AY14" i="8" s="1"/>
  <c r="AZ20" i="10"/>
  <c r="AZ14" i="16" s="1"/>
  <c r="AY14" i="16"/>
  <c r="AX23" i="10"/>
  <c r="AX21" i="8" s="1"/>
  <c r="AX15" i="16"/>
  <c r="AY21" i="10"/>
  <c r="AY34" i="10"/>
  <c r="AY23" i="8" s="1"/>
  <c r="AY32" i="10"/>
  <c r="AY13" i="8" s="1"/>
  <c r="AZ10" i="10"/>
  <c r="AZ10" i="16" s="1"/>
  <c r="AY27" i="10"/>
  <c r="AY22" i="16" s="1"/>
  <c r="AZ14" i="10"/>
  <c r="BA22" i="10"/>
  <c r="AZ15" i="10"/>
  <c r="AZ16" i="10"/>
  <c r="AZ24" i="10"/>
  <c r="AZ19" i="10"/>
  <c r="AZ24" i="8" s="1"/>
  <c r="AZ13" i="7" s="1"/>
  <c r="AZ26" i="10"/>
  <c r="AZ21" i="16" s="1"/>
  <c r="AZ12" i="10"/>
  <c r="AZ13" i="10" s="1"/>
  <c r="AZ11" i="10"/>
  <c r="BA11" i="10" s="1"/>
  <c r="BA7" i="10"/>
  <c r="BA6" i="10"/>
  <c r="BA5" i="10"/>
  <c r="BB4" i="10"/>
  <c r="AY13" i="7" l="1"/>
  <c r="AY12" i="7"/>
  <c r="AY25" i="8"/>
  <c r="AX14" i="7"/>
  <c r="AX18" i="7" s="1"/>
  <c r="AY17" i="8"/>
  <c r="AZ32" i="10"/>
  <c r="AZ13" i="8" s="1"/>
  <c r="AY14" i="7"/>
  <c r="AY18" i="7" s="1"/>
  <c r="AB20" i="8"/>
  <c r="AA19" i="7"/>
  <c r="AA29" i="8"/>
  <c r="AA23" i="7"/>
  <c r="AA22" i="7"/>
  <c r="AZ34" i="10"/>
  <c r="AZ23" i="8" s="1"/>
  <c r="AZ12" i="7" s="1"/>
  <c r="AX24" i="16"/>
  <c r="AZ31" i="10"/>
  <c r="AZ10" i="8" s="1"/>
  <c r="AX17" i="16"/>
  <c r="AX25" i="16" s="1"/>
  <c r="AX25" i="10"/>
  <c r="AX18" i="16" s="1"/>
  <c r="AY23" i="10"/>
  <c r="AY21" i="8" s="1"/>
  <c r="AY15" i="16"/>
  <c r="AZ21" i="10"/>
  <c r="AZ15" i="16" s="1"/>
  <c r="AZ13" i="16"/>
  <c r="AZ33" i="10"/>
  <c r="AZ14" i="8" s="1"/>
  <c r="AZ30" i="10"/>
  <c r="AZ22" i="8" s="1"/>
  <c r="BA10" i="10"/>
  <c r="BA10" i="16" s="1"/>
  <c r="AZ27" i="10"/>
  <c r="AZ22" i="16" s="1"/>
  <c r="BA15" i="10"/>
  <c r="BA16" i="10"/>
  <c r="BA30" i="10"/>
  <c r="BA22" i="8" s="1"/>
  <c r="BA14" i="10"/>
  <c r="BA31" i="10"/>
  <c r="BA10" i="8" s="1"/>
  <c r="BB22" i="10"/>
  <c r="BA33" i="10"/>
  <c r="BA14" i="8" s="1"/>
  <c r="BA24" i="10"/>
  <c r="BA19" i="10"/>
  <c r="BA24" i="8" s="1"/>
  <c r="BA13" i="7" s="1"/>
  <c r="BA26" i="10"/>
  <c r="BA21" i="16" s="1"/>
  <c r="BA12" i="10"/>
  <c r="BA13" i="10" s="1"/>
  <c r="BA20" i="10"/>
  <c r="BB7" i="10"/>
  <c r="BB6" i="10"/>
  <c r="BB5" i="10"/>
  <c r="BC4" i="10"/>
  <c r="AZ17" i="8" l="1"/>
  <c r="BA11" i="7"/>
  <c r="AZ11" i="7"/>
  <c r="AZ25" i="8"/>
  <c r="AB17" i="7"/>
  <c r="AB26" i="8"/>
  <c r="AZ24" i="16"/>
  <c r="AZ23" i="10"/>
  <c r="AZ21" i="8" s="1"/>
  <c r="AY24" i="16"/>
  <c r="BA34" i="10"/>
  <c r="BA23" i="8" s="1"/>
  <c r="BA12" i="7" s="1"/>
  <c r="BA14" i="16"/>
  <c r="AY17" i="16"/>
  <c r="AY25" i="16" s="1"/>
  <c r="AY25" i="10"/>
  <c r="AY18" i="16" s="1"/>
  <c r="BA21" i="10"/>
  <c r="BA13" i="16"/>
  <c r="BB20" i="10"/>
  <c r="BB14" i="16" s="1"/>
  <c r="BA32" i="10"/>
  <c r="BA13" i="8" s="1"/>
  <c r="BA17" i="8" s="1"/>
  <c r="BB10" i="10"/>
  <c r="BB10" i="16" s="1"/>
  <c r="BA27" i="10"/>
  <c r="BA22" i="16" s="1"/>
  <c r="BB24" i="10"/>
  <c r="BB14" i="10"/>
  <c r="BB15" i="10"/>
  <c r="BC22" i="10"/>
  <c r="BB16" i="10"/>
  <c r="BB19" i="10"/>
  <c r="BB24" i="8" s="1"/>
  <c r="BB13" i="7" s="1"/>
  <c r="BB26" i="10"/>
  <c r="BB21" i="16" s="1"/>
  <c r="BB12" i="10"/>
  <c r="BB13" i="10" s="1"/>
  <c r="BB11" i="10"/>
  <c r="BB33" i="10" s="1"/>
  <c r="BB14" i="8" s="1"/>
  <c r="BC6" i="10"/>
  <c r="BC7" i="10"/>
  <c r="BC5" i="10"/>
  <c r="BD4" i="10"/>
  <c r="AZ14" i="7" l="1"/>
  <c r="AZ18" i="7" s="1"/>
  <c r="AZ17" i="16"/>
  <c r="AZ25" i="16" s="1"/>
  <c r="BA25" i="8"/>
  <c r="AZ25" i="10"/>
  <c r="AZ18" i="16" s="1"/>
  <c r="BA14" i="7"/>
  <c r="BA18" i="7" s="1"/>
  <c r="AB19" i="7"/>
  <c r="AB22" i="7" s="1"/>
  <c r="AC20" i="8"/>
  <c r="AB23" i="7"/>
  <c r="AB29" i="8"/>
  <c r="BB32" i="10"/>
  <c r="BB13" i="8" s="1"/>
  <c r="BB21" i="10"/>
  <c r="BB15" i="16" s="1"/>
  <c r="BB13" i="16"/>
  <c r="BA23" i="10"/>
  <c r="BA21" i="8" s="1"/>
  <c r="BA15" i="16"/>
  <c r="BB34" i="10"/>
  <c r="BB23" i="8" s="1"/>
  <c r="BB12" i="7" s="1"/>
  <c r="BC10" i="10"/>
  <c r="BC10" i="16" s="1"/>
  <c r="BB27" i="10"/>
  <c r="BB22" i="16" s="1"/>
  <c r="BC24" i="10"/>
  <c r="BC14" i="10"/>
  <c r="BD22" i="10"/>
  <c r="BC15" i="10"/>
  <c r="BC16" i="10"/>
  <c r="BC19" i="10"/>
  <c r="BC26" i="10"/>
  <c r="BC21" i="16" s="1"/>
  <c r="BC12" i="10"/>
  <c r="BC13" i="10" s="1"/>
  <c r="BC11" i="10"/>
  <c r="BC30" i="10" s="1"/>
  <c r="BC22" i="8" s="1"/>
  <c r="BB31" i="10"/>
  <c r="BB10" i="8" s="1"/>
  <c r="BB17" i="8" s="1"/>
  <c r="BB30" i="10"/>
  <c r="BB22" i="8" s="1"/>
  <c r="BC20" i="10"/>
  <c r="BD6" i="10"/>
  <c r="BD7" i="10"/>
  <c r="BD5" i="10"/>
  <c r="BE4" i="10"/>
  <c r="BC11" i="7" l="1"/>
  <c r="BC13" i="16"/>
  <c r="BC24" i="8"/>
  <c r="BB11" i="7"/>
  <c r="BB25" i="8"/>
  <c r="AC17" i="7"/>
  <c r="AC26" i="8"/>
  <c r="BB24" i="16"/>
  <c r="BA24" i="16"/>
  <c r="BA17" i="16"/>
  <c r="BA25" i="16" s="1"/>
  <c r="BA25" i="10"/>
  <c r="BA18" i="16" s="1"/>
  <c r="BB23" i="10"/>
  <c r="BB21" i="8" s="1"/>
  <c r="BD20" i="10"/>
  <c r="BD14" i="16" s="1"/>
  <c r="BC14" i="16"/>
  <c r="BC21" i="10"/>
  <c r="BC15" i="16" s="1"/>
  <c r="BC31" i="10"/>
  <c r="BC10" i="8" s="1"/>
  <c r="BC32" i="10"/>
  <c r="BC13" i="8" s="1"/>
  <c r="BC34" i="10"/>
  <c r="BC23" i="8" s="1"/>
  <c r="BD11" i="10"/>
  <c r="BD31" i="10" s="1"/>
  <c r="BD10" i="8" s="1"/>
  <c r="BC33" i="10"/>
  <c r="BC14" i="8" s="1"/>
  <c r="BD24" i="10"/>
  <c r="BD14" i="10"/>
  <c r="BD15" i="10"/>
  <c r="BD16" i="10"/>
  <c r="BE22" i="10"/>
  <c r="BD19" i="10"/>
  <c r="BD24" i="8" s="1"/>
  <c r="BD13" i="7" s="1"/>
  <c r="BD26" i="10"/>
  <c r="BD21" i="16" s="1"/>
  <c r="BD12" i="10"/>
  <c r="BD13" i="10" s="1"/>
  <c r="BD10" i="10"/>
  <c r="BD10" i="16" s="1"/>
  <c r="BC27" i="10"/>
  <c r="BC22" i="16" s="1"/>
  <c r="BE6" i="10"/>
  <c r="BE7" i="10"/>
  <c r="BE5" i="10"/>
  <c r="BF4" i="10"/>
  <c r="BC12" i="7" l="1"/>
  <c r="BC13" i="7"/>
  <c r="BC17" i="8"/>
  <c r="BC25" i="8"/>
  <c r="BB14" i="7"/>
  <c r="BB18" i="7" s="1"/>
  <c r="BC14" i="7"/>
  <c r="BC18" i="7" s="1"/>
  <c r="AD20" i="8"/>
  <c r="AC19" i="7"/>
  <c r="AC22" i="7" s="1"/>
  <c r="AC23" i="7"/>
  <c r="AC29" i="8"/>
  <c r="BD34" i="10"/>
  <c r="BD23" i="8" s="1"/>
  <c r="BD12" i="7" s="1"/>
  <c r="BC23" i="10"/>
  <c r="BC21" i="8" s="1"/>
  <c r="BD32" i="10"/>
  <c r="BD13" i="8" s="1"/>
  <c r="BB17" i="16"/>
  <c r="BB25" i="16" s="1"/>
  <c r="BB25" i="10"/>
  <c r="BB18" i="16" s="1"/>
  <c r="BD21" i="10"/>
  <c r="BD15" i="16" s="1"/>
  <c r="BD13" i="16"/>
  <c r="BD33" i="10"/>
  <c r="BD14" i="8" s="1"/>
  <c r="BC24" i="16"/>
  <c r="BE10" i="10"/>
  <c r="BE10" i="16" s="1"/>
  <c r="BD27" i="10"/>
  <c r="BD22" i="16" s="1"/>
  <c r="BE11" i="10"/>
  <c r="BF11" i="10" s="1"/>
  <c r="BD30" i="10"/>
  <c r="BD22" i="8" s="1"/>
  <c r="BE16" i="10"/>
  <c r="BE24" i="10"/>
  <c r="BE14" i="10"/>
  <c r="BE15" i="10"/>
  <c r="BF22" i="10"/>
  <c r="BE19" i="10"/>
  <c r="BE26" i="10"/>
  <c r="BE21" i="16" s="1"/>
  <c r="BE12" i="10"/>
  <c r="BE13" i="10" s="1"/>
  <c r="BE20" i="10"/>
  <c r="BF6" i="10"/>
  <c r="BF7" i="10"/>
  <c r="BF5" i="10"/>
  <c r="BG4" i="10"/>
  <c r="BC17" i="16" l="1"/>
  <c r="BC25" i="16" s="1"/>
  <c r="BC25" i="10"/>
  <c r="BC18" i="16" s="1"/>
  <c r="BD23" i="10"/>
  <c r="BD21" i="8" s="1"/>
  <c r="BD17" i="8"/>
  <c r="BE13" i="16"/>
  <c r="BE24" i="8"/>
  <c r="BD11" i="7"/>
  <c r="BD25" i="8"/>
  <c r="AD17" i="7"/>
  <c r="AD26" i="8"/>
  <c r="BE33" i="10"/>
  <c r="BE14" i="8" s="1"/>
  <c r="BF20" i="10"/>
  <c r="BF14" i="16" s="1"/>
  <c r="BE14" i="16"/>
  <c r="BD24" i="16"/>
  <c r="BD17" i="16"/>
  <c r="BD25" i="16" s="1"/>
  <c r="BD25" i="10"/>
  <c r="BD18" i="16" s="1"/>
  <c r="BE30" i="10"/>
  <c r="BE22" i="8" s="1"/>
  <c r="BE31" i="10"/>
  <c r="BE10" i="8" s="1"/>
  <c r="BE32" i="10"/>
  <c r="BE13" i="8" s="1"/>
  <c r="BE21" i="10"/>
  <c r="BE34" i="10"/>
  <c r="BE23" i="8" s="1"/>
  <c r="BE12" i="7" s="1"/>
  <c r="BF31" i="10"/>
  <c r="BF10" i="8" s="1"/>
  <c r="BG22" i="10"/>
  <c r="BF15" i="10"/>
  <c r="BF16" i="10"/>
  <c r="BF33" i="10"/>
  <c r="BF14" i="8" s="1"/>
  <c r="BF24" i="10"/>
  <c r="BF14" i="10"/>
  <c r="BF30" i="10"/>
  <c r="BF22" i="8" s="1"/>
  <c r="BF19" i="10"/>
  <c r="BF24" i="8" s="1"/>
  <c r="BF13" i="7" s="1"/>
  <c r="BF26" i="10"/>
  <c r="BF21" i="16" s="1"/>
  <c r="BF12" i="10"/>
  <c r="BF13" i="10" s="1"/>
  <c r="BF10" i="10"/>
  <c r="BF10" i="16" s="1"/>
  <c r="BE27" i="10"/>
  <c r="BE22" i="16" s="1"/>
  <c r="BG7" i="10"/>
  <c r="BG6" i="10"/>
  <c r="BH4" i="10"/>
  <c r="BG5" i="10"/>
  <c r="BG20" i="10" s="1"/>
  <c r="BG14" i="16" s="1"/>
  <c r="BE17" i="8" l="1"/>
  <c r="BE11" i="7"/>
  <c r="BE25" i="8"/>
  <c r="BD14" i="7"/>
  <c r="BD18" i="7" s="1"/>
  <c r="BF11" i="7"/>
  <c r="BF25" i="8"/>
  <c r="BE13" i="7"/>
  <c r="AE20" i="8"/>
  <c r="AD19" i="7"/>
  <c r="AD22" i="7" s="1"/>
  <c r="AD29" i="8"/>
  <c r="AD23" i="7"/>
  <c r="BF34" i="10"/>
  <c r="BF23" i="8" s="1"/>
  <c r="BF12" i="7" s="1"/>
  <c r="BF21" i="10"/>
  <c r="BF15" i="16" s="1"/>
  <c r="BF13" i="16"/>
  <c r="BE23" i="10"/>
  <c r="BE21" i="8" s="1"/>
  <c r="BE15" i="16"/>
  <c r="BF32" i="10"/>
  <c r="BF13" i="8" s="1"/>
  <c r="BF17" i="8" s="1"/>
  <c r="BG10" i="10"/>
  <c r="BG10" i="16" s="1"/>
  <c r="BF27" i="10"/>
  <c r="BF22" i="16" s="1"/>
  <c r="BG14" i="10"/>
  <c r="BH22" i="10"/>
  <c r="BG15" i="10"/>
  <c r="BG32" i="10"/>
  <c r="BG13" i="8" s="1"/>
  <c r="BG16" i="10"/>
  <c r="BG34" i="10"/>
  <c r="BG23" i="8" s="1"/>
  <c r="BG12" i="7" s="1"/>
  <c r="BG24" i="10"/>
  <c r="BG19" i="10"/>
  <c r="BG24" i="8" s="1"/>
  <c r="BG13" i="7" s="1"/>
  <c r="BG26" i="10"/>
  <c r="BG21" i="16" s="1"/>
  <c r="BG12" i="10"/>
  <c r="BG13" i="10" s="1"/>
  <c r="BG11" i="10"/>
  <c r="BH11" i="10" s="1"/>
  <c r="BH7" i="10"/>
  <c r="BH6" i="10"/>
  <c r="BI4" i="10"/>
  <c r="BH5" i="10"/>
  <c r="BF14" i="7" l="1"/>
  <c r="BF18" i="7" s="1"/>
  <c r="BE14" i="7"/>
  <c r="BE18" i="7" s="1"/>
  <c r="AE17" i="7"/>
  <c r="AE26" i="8"/>
  <c r="BF23" i="10"/>
  <c r="BF21" i="8" s="1"/>
  <c r="BE24" i="16"/>
  <c r="BE17" i="16"/>
  <c r="BE25" i="16" s="1"/>
  <c r="BE25" i="10"/>
  <c r="BE18" i="16" s="1"/>
  <c r="BG21" i="10"/>
  <c r="BG13" i="16"/>
  <c r="BF24" i="16"/>
  <c r="BG31" i="10"/>
  <c r="BG10" i="8" s="1"/>
  <c r="BG30" i="10"/>
  <c r="BG22" i="8" s="1"/>
  <c r="BG33" i="10"/>
  <c r="BG14" i="8" s="1"/>
  <c r="BH10" i="10"/>
  <c r="BH10" i="16" s="1"/>
  <c r="BG27" i="10"/>
  <c r="BG22" i="16" s="1"/>
  <c r="BH33" i="10"/>
  <c r="BH14" i="8" s="1"/>
  <c r="BH30" i="10"/>
  <c r="BH22" i="8" s="1"/>
  <c r="BH14" i="10"/>
  <c r="BH31" i="10"/>
  <c r="BH10" i="8" s="1"/>
  <c r="BI22" i="10"/>
  <c r="BH15" i="10"/>
  <c r="BH16" i="10"/>
  <c r="BH24" i="10"/>
  <c r="BH19" i="10"/>
  <c r="BH24" i="8" s="1"/>
  <c r="BH13" i="7" s="1"/>
  <c r="BH26" i="10"/>
  <c r="BH21" i="16" s="1"/>
  <c r="BH12" i="10"/>
  <c r="BH13" i="10" s="1"/>
  <c r="BH20" i="10"/>
  <c r="BI7" i="10"/>
  <c r="BI6" i="10"/>
  <c r="BI5" i="10"/>
  <c r="BI11" i="10" s="1"/>
  <c r="BJ4" i="10"/>
  <c r="BG17" i="8" l="1"/>
  <c r="BH11" i="7"/>
  <c r="BF25" i="10"/>
  <c r="BF18" i="16" s="1"/>
  <c r="BF17" i="16"/>
  <c r="BF25" i="16" s="1"/>
  <c r="BG11" i="7"/>
  <c r="BG25" i="8"/>
  <c r="F46" i="8"/>
  <c r="AE19" i="7"/>
  <c r="AE22" i="7" s="1"/>
  <c r="AF20" i="8"/>
  <c r="AE23" i="7"/>
  <c r="AE29" i="8"/>
  <c r="BG23" i="10"/>
  <c r="BG21" i="8" s="1"/>
  <c r="BG15" i="16"/>
  <c r="BH21" i="10"/>
  <c r="BH13" i="16"/>
  <c r="BI20" i="10"/>
  <c r="BI14" i="16" s="1"/>
  <c r="BH14" i="16"/>
  <c r="BI10" i="10"/>
  <c r="BI10" i="16" s="1"/>
  <c r="BH27" i="10"/>
  <c r="BH22" i="16" s="1"/>
  <c r="BH32" i="10"/>
  <c r="BH13" i="8" s="1"/>
  <c r="BH17" i="8" s="1"/>
  <c r="BH34" i="10"/>
  <c r="BH23" i="8" s="1"/>
  <c r="BH12" i="7" s="1"/>
  <c r="BI30" i="10"/>
  <c r="BI22" i="8" s="1"/>
  <c r="BI14" i="10"/>
  <c r="BI31" i="10"/>
  <c r="BI10" i="8" s="1"/>
  <c r="BJ22" i="10"/>
  <c r="BI15" i="10"/>
  <c r="BI16" i="10"/>
  <c r="BI33" i="10"/>
  <c r="BI14" i="8" s="1"/>
  <c r="F39" i="8" s="1"/>
  <c r="BI24" i="10"/>
  <c r="BI19" i="10"/>
  <c r="BI24" i="8" s="1"/>
  <c r="BI13" i="7" s="1"/>
  <c r="BI26" i="10"/>
  <c r="BI21" i="16" s="1"/>
  <c r="F36" i="16" s="1"/>
  <c r="BI12" i="10"/>
  <c r="BI13" i="10" s="1"/>
  <c r="BJ7" i="10"/>
  <c r="BJ6" i="10"/>
  <c r="BJ5" i="10"/>
  <c r="BK4" i="10"/>
  <c r="BG14" i="7" l="1"/>
  <c r="BG18" i="7" s="1"/>
  <c r="BH25" i="8"/>
  <c r="BI11" i="7"/>
  <c r="F29" i="7" s="1"/>
  <c r="F35" i="8"/>
  <c r="BH14" i="7"/>
  <c r="BH18" i="7" s="1"/>
  <c r="AF17" i="7"/>
  <c r="AF26" i="8"/>
  <c r="BI21" i="10"/>
  <c r="BI13" i="16"/>
  <c r="BI34" i="10"/>
  <c r="BI23" i="8" s="1"/>
  <c r="BI12" i="7" s="1"/>
  <c r="BH23" i="10"/>
  <c r="BH21" i="8" s="1"/>
  <c r="BH15" i="16"/>
  <c r="BG24" i="16"/>
  <c r="BJ20" i="10"/>
  <c r="BJ14" i="16" s="1"/>
  <c r="BI32" i="10"/>
  <c r="BI13" i="8" s="1"/>
  <c r="F38" i="8" s="1"/>
  <c r="BG17" i="16"/>
  <c r="BG25" i="16" s="1"/>
  <c r="BG25" i="10"/>
  <c r="BG18" i="16" s="1"/>
  <c r="BJ10" i="10"/>
  <c r="BJ10" i="16" s="1"/>
  <c r="BI27" i="10"/>
  <c r="BI22" i="16" s="1"/>
  <c r="BJ24" i="10"/>
  <c r="BK22" i="10"/>
  <c r="BJ14" i="10"/>
  <c r="BJ15" i="10"/>
  <c r="BJ16" i="10"/>
  <c r="BJ19" i="10"/>
  <c r="BJ24" i="8" s="1"/>
  <c r="BJ26" i="10"/>
  <c r="BJ21" i="16" s="1"/>
  <c r="BJ12" i="10"/>
  <c r="BJ13" i="10" s="1"/>
  <c r="BJ11" i="10"/>
  <c r="BJ31" i="10" s="1"/>
  <c r="BJ10" i="8" s="1"/>
  <c r="BK6" i="10"/>
  <c r="BK7" i="10"/>
  <c r="BL4" i="10"/>
  <c r="BK5" i="10"/>
  <c r="F42" i="8" l="1"/>
  <c r="BI17" i="8"/>
  <c r="BI25" i="8"/>
  <c r="BJ13" i="7"/>
  <c r="BI14" i="7"/>
  <c r="BI18" i="7" s="1"/>
  <c r="AF23" i="7"/>
  <c r="AG20" i="8"/>
  <c r="AF19" i="7"/>
  <c r="AF22" i="7" s="1"/>
  <c r="AF29" i="8"/>
  <c r="BJ21" i="10"/>
  <c r="BJ15" i="16" s="1"/>
  <c r="BJ13" i="16"/>
  <c r="BJ34" i="10"/>
  <c r="BJ23" i="8" s="1"/>
  <c r="BH25" i="10"/>
  <c r="BH18" i="16" s="1"/>
  <c r="BH17" i="16"/>
  <c r="BH25" i="16" s="1"/>
  <c r="BH24" i="16"/>
  <c r="BJ32" i="10"/>
  <c r="BJ13" i="8" s="1"/>
  <c r="BI23" i="10"/>
  <c r="BI21" i="8" s="1"/>
  <c r="BI15" i="16"/>
  <c r="BI24" i="16" s="1"/>
  <c r="BK24" i="10"/>
  <c r="BK14" i="10"/>
  <c r="BL22" i="10"/>
  <c r="BK15" i="10"/>
  <c r="BK16" i="10"/>
  <c r="BK19" i="10"/>
  <c r="BK26" i="10"/>
  <c r="BK21" i="16" s="1"/>
  <c r="BK12" i="10"/>
  <c r="BK13" i="10" s="1"/>
  <c r="BK11" i="10"/>
  <c r="BK30" i="10" s="1"/>
  <c r="BK22" i="8" s="1"/>
  <c r="BJ30" i="10"/>
  <c r="BJ22" i="8" s="1"/>
  <c r="BK10" i="10"/>
  <c r="BK10" i="16" s="1"/>
  <c r="BJ27" i="10"/>
  <c r="BJ22" i="16" s="1"/>
  <c r="BJ33" i="10"/>
  <c r="BJ14" i="8" s="1"/>
  <c r="BK20" i="10"/>
  <c r="BL6" i="10"/>
  <c r="BL7" i="10"/>
  <c r="BL5" i="10"/>
  <c r="BM4" i="10"/>
  <c r="BJ17" i="8" l="1"/>
  <c r="BJ11" i="7"/>
  <c r="BJ25" i="8"/>
  <c r="BK11" i="7"/>
  <c r="BK13" i="16"/>
  <c r="BK24" i="8"/>
  <c r="BJ12" i="7"/>
  <c r="AG17" i="7"/>
  <c r="AG26" i="8"/>
  <c r="BJ23" i="10"/>
  <c r="BJ21" i="8" s="1"/>
  <c r="BL20" i="10"/>
  <c r="BL14" i="16" s="1"/>
  <c r="BK14" i="16"/>
  <c r="BK33" i="10"/>
  <c r="BK14" i="8" s="1"/>
  <c r="BI17" i="16"/>
  <c r="BI25" i="16" s="1"/>
  <c r="BI25" i="10"/>
  <c r="BI18" i="16" s="1"/>
  <c r="BJ24" i="16"/>
  <c r="BK31" i="10"/>
  <c r="BK10" i="8" s="1"/>
  <c r="BL10" i="10"/>
  <c r="BL10" i="16" s="1"/>
  <c r="BK27" i="10"/>
  <c r="BK22" i="16" s="1"/>
  <c r="BK34" i="10"/>
  <c r="BK23" i="8" s="1"/>
  <c r="BK12" i="7" s="1"/>
  <c r="BK21" i="10"/>
  <c r="BL24" i="10"/>
  <c r="BL14" i="10"/>
  <c r="BM22" i="10"/>
  <c r="BL15" i="10"/>
  <c r="BL16" i="10"/>
  <c r="BL19" i="10"/>
  <c r="BL24" i="8" s="1"/>
  <c r="BL13" i="7" s="1"/>
  <c r="BL26" i="10"/>
  <c r="BL21" i="16" s="1"/>
  <c r="BL12" i="10"/>
  <c r="BL13" i="10" s="1"/>
  <c r="BL11" i="10"/>
  <c r="BM11" i="10" s="1"/>
  <c r="BK32" i="10"/>
  <c r="BK13" i="8" s="1"/>
  <c r="BM7" i="10"/>
  <c r="BM6" i="10"/>
  <c r="BM5" i="10"/>
  <c r="BN4" i="10"/>
  <c r="BJ25" i="10" l="1"/>
  <c r="BJ18" i="16" s="1"/>
  <c r="BK13" i="7"/>
  <c r="BK14" i="7" s="1"/>
  <c r="BK18" i="7" s="1"/>
  <c r="BJ17" i="16"/>
  <c r="BJ25" i="16" s="1"/>
  <c r="BL34" i="10"/>
  <c r="BL23" i="8" s="1"/>
  <c r="BL12" i="7" s="1"/>
  <c r="BK25" i="8"/>
  <c r="BJ14" i="7"/>
  <c r="BJ18" i="7" s="1"/>
  <c r="BK17" i="8"/>
  <c r="BM20" i="10"/>
  <c r="BM14" i="16" s="1"/>
  <c r="BL32" i="10"/>
  <c r="BL13" i="8" s="1"/>
  <c r="AH20" i="8"/>
  <c r="AG19" i="7"/>
  <c r="AG22" i="7" s="1"/>
  <c r="AG29" i="8"/>
  <c r="AG23" i="7"/>
  <c r="BL21" i="10"/>
  <c r="BL15" i="16" s="1"/>
  <c r="BL13" i="16"/>
  <c r="BK23" i="10"/>
  <c r="BK21" i="8" s="1"/>
  <c r="BK15" i="16"/>
  <c r="BL33" i="10"/>
  <c r="BL14" i="8" s="1"/>
  <c r="BL31" i="10"/>
  <c r="BL10" i="8" s="1"/>
  <c r="BM16" i="10"/>
  <c r="BM33" i="10"/>
  <c r="BM14" i="8" s="1"/>
  <c r="BM24" i="10"/>
  <c r="BM30" i="10"/>
  <c r="BM22" i="8" s="1"/>
  <c r="BM31" i="10"/>
  <c r="BM10" i="8" s="1"/>
  <c r="BN22" i="10"/>
  <c r="BM14" i="10"/>
  <c r="BM15" i="10"/>
  <c r="BM19" i="10"/>
  <c r="BM24" i="8" s="1"/>
  <c r="BM13" i="7" s="1"/>
  <c r="BM26" i="10"/>
  <c r="BM21" i="16" s="1"/>
  <c r="BM12" i="10"/>
  <c r="BM13" i="10" s="1"/>
  <c r="BL30" i="10"/>
  <c r="BL22" i="8" s="1"/>
  <c r="BM10" i="10"/>
  <c r="BM10" i="16" s="1"/>
  <c r="BL27" i="10"/>
  <c r="BL22" i="16" s="1"/>
  <c r="BN6" i="10"/>
  <c r="BN7" i="10"/>
  <c r="BN5" i="10"/>
  <c r="BO4" i="10"/>
  <c r="BM34" i="10" l="1"/>
  <c r="BM23" i="8" s="1"/>
  <c r="BM12" i="7" s="1"/>
  <c r="BM32" i="10"/>
  <c r="BM13" i="8" s="1"/>
  <c r="BM17" i="8" s="1"/>
  <c r="BL23" i="10"/>
  <c r="BL21" i="8" s="1"/>
  <c r="BM11" i="7"/>
  <c r="BM14" i="7" s="1"/>
  <c r="BM18" i="7" s="1"/>
  <c r="BM25" i="8"/>
  <c r="BL11" i="7"/>
  <c r="BL25" i="8"/>
  <c r="BL17" i="8"/>
  <c r="AH17" i="7"/>
  <c r="AH26" i="8"/>
  <c r="AH29" i="8" s="1"/>
  <c r="BK24" i="16"/>
  <c r="BM21" i="10"/>
  <c r="BM15" i="16" s="1"/>
  <c r="BM13" i="16"/>
  <c r="BK25" i="10"/>
  <c r="BK18" i="16" s="1"/>
  <c r="BK17" i="16"/>
  <c r="BK25" i="16" s="1"/>
  <c r="BL24" i="16"/>
  <c r="BN10" i="10"/>
  <c r="BN10" i="16" s="1"/>
  <c r="BM27" i="10"/>
  <c r="BM22" i="16" s="1"/>
  <c r="BO22" i="10"/>
  <c r="BN15" i="10"/>
  <c r="BN16" i="10"/>
  <c r="BN24" i="10"/>
  <c r="BN14" i="10"/>
  <c r="BN19" i="10"/>
  <c r="BN26" i="10"/>
  <c r="BN21" i="16" s="1"/>
  <c r="BN12" i="10"/>
  <c r="BN13" i="10" s="1"/>
  <c r="BN11" i="10"/>
  <c r="BN31" i="10" s="1"/>
  <c r="BN10" i="8" s="1"/>
  <c r="BN20" i="10"/>
  <c r="BO7" i="10"/>
  <c r="BO6" i="10"/>
  <c r="BO5" i="10"/>
  <c r="BP4" i="10"/>
  <c r="BL25" i="10" l="1"/>
  <c r="BL18" i="16" s="1"/>
  <c r="BL17" i="16"/>
  <c r="BL25" i="16" s="1"/>
  <c r="BN13" i="16"/>
  <c r="BN24" i="8"/>
  <c r="BL14" i="7"/>
  <c r="BL18" i="7" s="1"/>
  <c r="AI20" i="8"/>
  <c r="AH19" i="7"/>
  <c r="AH22" i="7"/>
  <c r="AH23" i="7"/>
  <c r="BM23" i="10"/>
  <c r="BM24" i="16"/>
  <c r="BN32" i="10"/>
  <c r="BN13" i="8" s="1"/>
  <c r="BN14" i="16"/>
  <c r="BN21" i="10"/>
  <c r="BN30" i="10"/>
  <c r="BN22" i="8" s="1"/>
  <c r="BO14" i="10"/>
  <c r="BP22" i="10"/>
  <c r="BO15" i="10"/>
  <c r="BO16" i="10"/>
  <c r="BO24" i="10"/>
  <c r="BO19" i="10"/>
  <c r="BO26" i="10"/>
  <c r="BO21" i="16" s="1"/>
  <c r="BO12" i="10"/>
  <c r="BO13" i="10" s="1"/>
  <c r="BO20" i="10"/>
  <c r="BO11" i="10"/>
  <c r="BO31" i="10" s="1"/>
  <c r="BO10" i="8" s="1"/>
  <c r="BN34" i="10"/>
  <c r="BN23" i="8" s="1"/>
  <c r="BO10" i="10"/>
  <c r="BO10" i="16" s="1"/>
  <c r="BN27" i="10"/>
  <c r="BN22" i="16" s="1"/>
  <c r="BN33" i="10"/>
  <c r="BN14" i="8" s="1"/>
  <c r="BP6" i="10"/>
  <c r="BP7" i="10"/>
  <c r="BQ4" i="10"/>
  <c r="BP5" i="10"/>
  <c r="BN17" i="8" l="1"/>
  <c r="BO13" i="16"/>
  <c r="BO24" i="8"/>
  <c r="BO13" i="7" s="1"/>
  <c r="BN11" i="7"/>
  <c r="BN25" i="8"/>
  <c r="BM17" i="16"/>
  <c r="BM25" i="16" s="1"/>
  <c r="BM21" i="8"/>
  <c r="BN13" i="7"/>
  <c r="BN12" i="7"/>
  <c r="AI17" i="7"/>
  <c r="AI26" i="8"/>
  <c r="BM25" i="10"/>
  <c r="BM18" i="16" s="1"/>
  <c r="BO34" i="10"/>
  <c r="BO23" i="8" s="1"/>
  <c r="BO12" i="7" s="1"/>
  <c r="BO14" i="16"/>
  <c r="BN23" i="10"/>
  <c r="BN21" i="8" s="1"/>
  <c r="BN15" i="16"/>
  <c r="BO33" i="10"/>
  <c r="BO14" i="8" s="1"/>
  <c r="BO21" i="10"/>
  <c r="BO15" i="16" s="1"/>
  <c r="BO32" i="10"/>
  <c r="BO13" i="8" s="1"/>
  <c r="BP10" i="10"/>
  <c r="BP10" i="16" s="1"/>
  <c r="BO27" i="10"/>
  <c r="BO22" i="16" s="1"/>
  <c r="BP11" i="10"/>
  <c r="BP31" i="10" s="1"/>
  <c r="BP10" i="8" s="1"/>
  <c r="BP16" i="10"/>
  <c r="BP14" i="10"/>
  <c r="BQ22" i="10"/>
  <c r="BP15" i="10"/>
  <c r="BP24" i="10"/>
  <c r="BP19" i="10"/>
  <c r="BP26" i="10"/>
  <c r="BP21" i="16" s="1"/>
  <c r="BP12" i="10"/>
  <c r="BP13" i="10" s="1"/>
  <c r="BP20" i="10"/>
  <c r="BO30" i="10"/>
  <c r="BO22" i="8" s="1"/>
  <c r="BQ6" i="10"/>
  <c r="BQ7" i="10"/>
  <c r="BR4" i="10"/>
  <c r="BQ5" i="10"/>
  <c r="BO17" i="8" l="1"/>
  <c r="BP13" i="16"/>
  <c r="BP24" i="8"/>
  <c r="BO11" i="7"/>
  <c r="BO14" i="7" s="1"/>
  <c r="BO18" i="7" s="1"/>
  <c r="BO25" i="8"/>
  <c r="BN14" i="7"/>
  <c r="BN18" i="7" s="1"/>
  <c r="AJ20" i="8"/>
  <c r="AI19" i="7"/>
  <c r="AI22" i="7" s="1"/>
  <c r="AI29" i="8"/>
  <c r="AI23" i="7"/>
  <c r="BO23" i="10"/>
  <c r="BO21" i="8" s="1"/>
  <c r="BN24" i="16"/>
  <c r="BQ20" i="10"/>
  <c r="BQ14" i="16" s="1"/>
  <c r="BP14" i="16"/>
  <c r="BN17" i="16"/>
  <c r="BN25" i="16" s="1"/>
  <c r="BN25" i="10"/>
  <c r="BN18" i="16" s="1"/>
  <c r="BO24" i="16"/>
  <c r="BP21" i="10"/>
  <c r="BP30" i="10"/>
  <c r="BP22" i="8" s="1"/>
  <c r="BP34" i="10"/>
  <c r="BP23" i="8" s="1"/>
  <c r="BP12" i="7" s="1"/>
  <c r="BP32" i="10"/>
  <c r="BP13" i="8" s="1"/>
  <c r="BQ11" i="10"/>
  <c r="BQ33" i="10" s="1"/>
  <c r="BQ14" i="8" s="1"/>
  <c r="BP33" i="10"/>
  <c r="BP14" i="8" s="1"/>
  <c r="BQ14" i="10"/>
  <c r="BQ15" i="10"/>
  <c r="BR22" i="10"/>
  <c r="BQ16" i="10"/>
  <c r="BQ24" i="10"/>
  <c r="BQ19" i="10"/>
  <c r="BQ24" i="8" s="1"/>
  <c r="BQ13" i="7" s="1"/>
  <c r="BQ26" i="10"/>
  <c r="BQ21" i="16" s="1"/>
  <c r="BQ12" i="10"/>
  <c r="BQ13" i="10" s="1"/>
  <c r="BQ10" i="10"/>
  <c r="BQ10" i="16" s="1"/>
  <c r="BP27" i="10"/>
  <c r="BP22" i="16" s="1"/>
  <c r="BR7" i="10"/>
  <c r="BR6" i="10"/>
  <c r="BS4" i="10"/>
  <c r="BR5" i="10"/>
  <c r="BP17" i="8" l="1"/>
  <c r="BP11" i="7"/>
  <c r="BP25" i="8"/>
  <c r="BP13" i="7"/>
  <c r="AJ17" i="7"/>
  <c r="AJ26" i="8"/>
  <c r="BQ34" i="10"/>
  <c r="BQ23" i="8" s="1"/>
  <c r="BQ32" i="10"/>
  <c r="BQ13" i="8" s="1"/>
  <c r="BP23" i="10"/>
  <c r="BP21" i="8" s="1"/>
  <c r="BP15" i="16"/>
  <c r="BQ21" i="10"/>
  <c r="BQ15" i="16" s="1"/>
  <c r="BQ13" i="16"/>
  <c r="BQ30" i="10"/>
  <c r="BQ22" i="8" s="1"/>
  <c r="BO25" i="10"/>
  <c r="BO18" i="16" s="1"/>
  <c r="BO17" i="16"/>
  <c r="BO25" i="16" s="1"/>
  <c r="BR10" i="10"/>
  <c r="BR10" i="16" s="1"/>
  <c r="BQ27" i="10"/>
  <c r="BQ22" i="16" s="1"/>
  <c r="BR11" i="10"/>
  <c r="BS11" i="10" s="1"/>
  <c r="BQ23" i="10"/>
  <c r="BQ21" i="8" s="1"/>
  <c r="BR24" i="10"/>
  <c r="BR14" i="10"/>
  <c r="BR30" i="10"/>
  <c r="BR22" i="8" s="1"/>
  <c r="BR15" i="10"/>
  <c r="BS22" i="10"/>
  <c r="BR16" i="10"/>
  <c r="BR19" i="10"/>
  <c r="BR26" i="10"/>
  <c r="BR21" i="16" s="1"/>
  <c r="BR12" i="10"/>
  <c r="BR13" i="10" s="1"/>
  <c r="BQ31" i="10"/>
  <c r="BQ10" i="8" s="1"/>
  <c r="BR20" i="10"/>
  <c r="BS6" i="10"/>
  <c r="BS7" i="10"/>
  <c r="BT4" i="10"/>
  <c r="BS5" i="10"/>
  <c r="BQ17" i="8" l="1"/>
  <c r="BR11" i="7"/>
  <c r="BQ11" i="7"/>
  <c r="BQ25" i="8"/>
  <c r="BQ12" i="7"/>
  <c r="BR13" i="16"/>
  <c r="BR24" i="8"/>
  <c r="BR13" i="7" s="1"/>
  <c r="BP14" i="7"/>
  <c r="BP18" i="7" s="1"/>
  <c r="AK20" i="8"/>
  <c r="AJ19" i="7"/>
  <c r="AJ23" i="7"/>
  <c r="AJ22" i="7"/>
  <c r="AJ29" i="8"/>
  <c r="BQ24" i="16"/>
  <c r="BP24" i="16"/>
  <c r="BQ17" i="16"/>
  <c r="BQ25" i="16" s="1"/>
  <c r="BQ25" i="10"/>
  <c r="BQ18" i="16" s="1"/>
  <c r="BP25" i="10"/>
  <c r="BP18" i="16" s="1"/>
  <c r="BP17" i="16"/>
  <c r="BP25" i="16" s="1"/>
  <c r="BS20" i="10"/>
  <c r="BS14" i="16" s="1"/>
  <c r="BR14" i="16"/>
  <c r="BR33" i="10"/>
  <c r="BR14" i="8" s="1"/>
  <c r="BR21" i="10"/>
  <c r="BR34" i="10"/>
  <c r="BR23" i="8" s="1"/>
  <c r="BR12" i="7" s="1"/>
  <c r="BR32" i="10"/>
  <c r="BR13" i="8" s="1"/>
  <c r="BS24" i="10"/>
  <c r="BS14" i="10"/>
  <c r="BS30" i="10"/>
  <c r="BS22" i="8" s="1"/>
  <c r="BS31" i="10"/>
  <c r="BS10" i="8" s="1"/>
  <c r="BT22" i="10"/>
  <c r="BS15" i="10"/>
  <c r="BS16" i="10"/>
  <c r="BS33" i="10"/>
  <c r="BS14" i="8" s="1"/>
  <c r="BS19" i="10"/>
  <c r="BS24" i="8" s="1"/>
  <c r="BS13" i="7" s="1"/>
  <c r="BS26" i="10"/>
  <c r="BS21" i="16" s="1"/>
  <c r="BS12" i="10"/>
  <c r="BS13" i="10" s="1"/>
  <c r="BR31" i="10"/>
  <c r="BR10" i="8" s="1"/>
  <c r="BS10" i="10"/>
  <c r="BS10" i="16" s="1"/>
  <c r="BR27" i="10"/>
  <c r="BR22" i="16" s="1"/>
  <c r="BT6" i="10"/>
  <c r="BT7" i="10"/>
  <c r="BT5" i="10"/>
  <c r="BU4" i="10"/>
  <c r="BR17" i="8" l="1"/>
  <c r="BS11" i="7"/>
  <c r="BQ14" i="7"/>
  <c r="BQ18" i="7" s="1"/>
  <c r="BR25" i="8"/>
  <c r="BR14" i="7"/>
  <c r="BR18" i="7" s="1"/>
  <c r="AK17" i="7"/>
  <c r="AK26" i="8"/>
  <c r="BS32" i="10"/>
  <c r="BS13" i="8" s="1"/>
  <c r="BS17" i="8" s="1"/>
  <c r="BS34" i="10"/>
  <c r="BS23" i="8" s="1"/>
  <c r="BS12" i="7" s="1"/>
  <c r="BT20" i="10"/>
  <c r="BT14" i="16" s="1"/>
  <c r="BR23" i="10"/>
  <c r="BR21" i="8" s="1"/>
  <c r="BR15" i="16"/>
  <c r="BR24" i="16" s="1"/>
  <c r="BS21" i="10"/>
  <c r="BS15" i="16" s="1"/>
  <c r="BS13" i="16"/>
  <c r="BS23" i="10"/>
  <c r="BS21" i="8" s="1"/>
  <c r="BT10" i="10"/>
  <c r="BT10" i="16" s="1"/>
  <c r="BS27" i="10"/>
  <c r="BS22" i="16" s="1"/>
  <c r="BT24" i="10"/>
  <c r="BT14" i="10"/>
  <c r="BT15" i="10"/>
  <c r="BT16" i="10"/>
  <c r="BT32" i="10"/>
  <c r="BT13" i="8" s="1"/>
  <c r="BU22" i="10"/>
  <c r="BT19" i="10"/>
  <c r="BT24" i="8" s="1"/>
  <c r="BT13" i="7" s="1"/>
  <c r="BT26" i="10"/>
  <c r="BT21" i="16" s="1"/>
  <c r="BT12" i="10"/>
  <c r="BT13" i="10" s="1"/>
  <c r="BT11" i="10"/>
  <c r="BU11" i="10" s="1"/>
  <c r="BU6" i="10"/>
  <c r="BU7" i="10"/>
  <c r="BV4" i="10"/>
  <c r="BU5" i="10"/>
  <c r="BT34" i="10" l="1"/>
  <c r="BT23" i="8" s="1"/>
  <c r="BT12" i="7" s="1"/>
  <c r="BS25" i="8"/>
  <c r="BS14" i="7"/>
  <c r="BS18" i="7" s="1"/>
  <c r="D50" i="8"/>
  <c r="D53" i="8" s="1"/>
  <c r="AK19" i="7"/>
  <c r="D37" i="7" s="1"/>
  <c r="D40" i="7" s="1"/>
  <c r="AL20" i="8"/>
  <c r="AK29" i="8"/>
  <c r="AK22" i="7"/>
  <c r="AK23" i="7"/>
  <c r="BS24" i="16"/>
  <c r="BS25" i="10"/>
  <c r="BS18" i="16" s="1"/>
  <c r="BS17" i="16"/>
  <c r="BS25" i="16" s="1"/>
  <c r="BR17" i="16"/>
  <c r="BR25" i="16" s="1"/>
  <c r="BR25" i="10"/>
  <c r="BR18" i="16" s="1"/>
  <c r="BT21" i="10"/>
  <c r="BT15" i="16" s="1"/>
  <c r="BT13" i="16"/>
  <c r="BT33" i="10"/>
  <c r="BT14" i="8" s="1"/>
  <c r="BU10" i="10"/>
  <c r="BU10" i="16" s="1"/>
  <c r="BT27" i="10"/>
  <c r="BT22" i="16" s="1"/>
  <c r="BT31" i="10"/>
  <c r="BT10" i="8" s="1"/>
  <c r="BT17" i="8" s="1"/>
  <c r="BU16" i="10"/>
  <c r="BU33" i="10"/>
  <c r="BU14" i="8" s="1"/>
  <c r="G39" i="8" s="1"/>
  <c r="BU24" i="10"/>
  <c r="BU15" i="10"/>
  <c r="BU14" i="10"/>
  <c r="BU30" i="10"/>
  <c r="BU22" i="8" s="1"/>
  <c r="BV22" i="10"/>
  <c r="BU31" i="10"/>
  <c r="BU10" i="8" s="1"/>
  <c r="BU19" i="10"/>
  <c r="BU26" i="10"/>
  <c r="BU21" i="16" s="1"/>
  <c r="G36" i="16" s="1"/>
  <c r="BU12" i="10"/>
  <c r="BU13" i="10" s="1"/>
  <c r="BT30" i="10"/>
  <c r="BT22" i="8" s="1"/>
  <c r="BU20" i="10"/>
  <c r="BV6" i="10"/>
  <c r="BV7" i="10"/>
  <c r="BV5" i="10"/>
  <c r="BW4" i="10"/>
  <c r="BT11" i="7" l="1"/>
  <c r="BT14" i="7" s="1"/>
  <c r="BT18" i="7" s="1"/>
  <c r="BT25" i="8"/>
  <c r="BU11" i="7"/>
  <c r="BU13" i="16"/>
  <c r="BU24" i="8"/>
  <c r="BU13" i="7" s="1"/>
  <c r="G35" i="8"/>
  <c r="E45" i="8"/>
  <c r="E54" i="8" s="1"/>
  <c r="AL17" i="7"/>
  <c r="E35" i="7" s="1"/>
  <c r="AL26" i="8"/>
  <c r="AL29" i="8" s="1"/>
  <c r="BT24" i="16"/>
  <c r="BV20" i="10"/>
  <c r="BV14" i="16" s="1"/>
  <c r="BU14" i="16"/>
  <c r="BT23" i="10"/>
  <c r="BT21" i="8" s="1"/>
  <c r="BU32" i="10"/>
  <c r="BU13" i="8" s="1"/>
  <c r="G38" i="8" s="1"/>
  <c r="BU21" i="10"/>
  <c r="BV10" i="10"/>
  <c r="BV10" i="16" s="1"/>
  <c r="BU27" i="10"/>
  <c r="BU22" i="16" s="1"/>
  <c r="BW22" i="10"/>
  <c r="BV15" i="10"/>
  <c r="BV16" i="10"/>
  <c r="BV34" i="10"/>
  <c r="BV23" i="8" s="1"/>
  <c r="BV24" i="10"/>
  <c r="BV14" i="10"/>
  <c r="BV19" i="10"/>
  <c r="BV26" i="10"/>
  <c r="BV21" i="16" s="1"/>
  <c r="BV12" i="10"/>
  <c r="BV13" i="10" s="1"/>
  <c r="BU34" i="10"/>
  <c r="BU23" i="8" s="1"/>
  <c r="BU12" i="7" s="1"/>
  <c r="BV11" i="10"/>
  <c r="BW11" i="10" s="1"/>
  <c r="BW7" i="10"/>
  <c r="BW6" i="10"/>
  <c r="BW5" i="10"/>
  <c r="BX4" i="10"/>
  <c r="BU17" i="8" l="1"/>
  <c r="BU25" i="8"/>
  <c r="G42" i="8"/>
  <c r="BU14" i="7"/>
  <c r="BU18" i="7" s="1"/>
  <c r="E41" i="7"/>
  <c r="BV12" i="7"/>
  <c r="BV13" i="16"/>
  <c r="BV24" i="8"/>
  <c r="AM20" i="8"/>
  <c r="AL19" i="7"/>
  <c r="AL23" i="7"/>
  <c r="AL22" i="7"/>
  <c r="BV21" i="10"/>
  <c r="BV23" i="10" s="1"/>
  <c r="BV21" i="8" s="1"/>
  <c r="BT17" i="16"/>
  <c r="BT25" i="16" s="1"/>
  <c r="BT25" i="10"/>
  <c r="BT18" i="16" s="1"/>
  <c r="BV32" i="10"/>
  <c r="BV13" i="8" s="1"/>
  <c r="BU23" i="10"/>
  <c r="BU21" i="8" s="1"/>
  <c r="BU15" i="16"/>
  <c r="BW20" i="10"/>
  <c r="BW14" i="16" s="1"/>
  <c r="BV30" i="10"/>
  <c r="BV22" i="8" s="1"/>
  <c r="BV31" i="10"/>
  <c r="BV10" i="8" s="1"/>
  <c r="BW30" i="10"/>
  <c r="BW22" i="8" s="1"/>
  <c r="BW14" i="10"/>
  <c r="BW31" i="10"/>
  <c r="BW10" i="8" s="1"/>
  <c r="BX22" i="10"/>
  <c r="BW15" i="10"/>
  <c r="BW16" i="10"/>
  <c r="BW33" i="10"/>
  <c r="BW14" i="8" s="1"/>
  <c r="BW24" i="10"/>
  <c r="BW19" i="10"/>
  <c r="BW24" i="8" s="1"/>
  <c r="BW13" i="7" s="1"/>
  <c r="BW26" i="10"/>
  <c r="BW21" i="16" s="1"/>
  <c r="BW12" i="10"/>
  <c r="BW13" i="10" s="1"/>
  <c r="BV33" i="10"/>
  <c r="BV14" i="8" s="1"/>
  <c r="BW10" i="10"/>
  <c r="BW10" i="16" s="1"/>
  <c r="BV27" i="10"/>
  <c r="BV22" i="16" s="1"/>
  <c r="BX7" i="10"/>
  <c r="BX6" i="10"/>
  <c r="BX5" i="10"/>
  <c r="BY4" i="10"/>
  <c r="BV11" i="7" l="1"/>
  <c r="BV25" i="8"/>
  <c r="BV15" i="16"/>
  <c r="BV24" i="16" s="1"/>
  <c r="BW32" i="10"/>
  <c r="BW13" i="8" s="1"/>
  <c r="BW17" i="8" s="1"/>
  <c r="BW11" i="7"/>
  <c r="BV13" i="7"/>
  <c r="BV17" i="8"/>
  <c r="AM17" i="7"/>
  <c r="AM26" i="8"/>
  <c r="BU17" i="16"/>
  <c r="BU25" i="16" s="1"/>
  <c r="BU25" i="10"/>
  <c r="BU18" i="16" s="1"/>
  <c r="BV17" i="16"/>
  <c r="BV25" i="16" s="1"/>
  <c r="BV25" i="10"/>
  <c r="BV18" i="16" s="1"/>
  <c r="BW21" i="10"/>
  <c r="BW15" i="16" s="1"/>
  <c r="BW13" i="16"/>
  <c r="BW34" i="10"/>
  <c r="BW23" i="8" s="1"/>
  <c r="BU24" i="16"/>
  <c r="BX14" i="10"/>
  <c r="BX16" i="10"/>
  <c r="BY22" i="10"/>
  <c r="BX15" i="10"/>
  <c r="BX24" i="10"/>
  <c r="BX19" i="10"/>
  <c r="BX26" i="10"/>
  <c r="BX21" i="16" s="1"/>
  <c r="BX12" i="10"/>
  <c r="BX13" i="10" s="1"/>
  <c r="BX11" i="10"/>
  <c r="BX31" i="10" s="1"/>
  <c r="BX10" i="8" s="1"/>
  <c r="BX10" i="10"/>
  <c r="BX10" i="16" s="1"/>
  <c r="BW27" i="10"/>
  <c r="BW22" i="16" s="1"/>
  <c r="BX20" i="10"/>
  <c r="BY7" i="10"/>
  <c r="BY6" i="10"/>
  <c r="BY5" i="10"/>
  <c r="BZ4" i="10"/>
  <c r="BW12" i="7" l="1"/>
  <c r="BW14" i="7" s="1"/>
  <c r="BW18" i="7" s="1"/>
  <c r="BX13" i="16"/>
  <c r="BX24" i="8"/>
  <c r="BV14" i="7"/>
  <c r="BV18" i="7" s="1"/>
  <c r="BW25" i="8"/>
  <c r="AN20" i="8"/>
  <c r="AM19" i="7"/>
  <c r="AM22" i="7" s="1"/>
  <c r="AM23" i="7"/>
  <c r="AM29" i="8"/>
  <c r="BW23" i="10"/>
  <c r="BW21" i="8" s="1"/>
  <c r="BX32" i="10"/>
  <c r="BX13" i="8" s="1"/>
  <c r="BX14" i="16"/>
  <c r="BW24" i="16"/>
  <c r="BX21" i="10"/>
  <c r="BX15" i="16" s="1"/>
  <c r="BY20" i="10"/>
  <c r="BY32" i="10" s="1"/>
  <c r="BY13" i="8" s="1"/>
  <c r="BY15" i="10"/>
  <c r="BY16" i="10"/>
  <c r="BY14" i="10"/>
  <c r="BZ22" i="10"/>
  <c r="BY24" i="10"/>
  <c r="BY19" i="10"/>
  <c r="BY26" i="10"/>
  <c r="BY21" i="16" s="1"/>
  <c r="BY12" i="10"/>
  <c r="BY13" i="10" s="1"/>
  <c r="BY10" i="10"/>
  <c r="BY10" i="16" s="1"/>
  <c r="BX27" i="10"/>
  <c r="BX22" i="16" s="1"/>
  <c r="BY11" i="10"/>
  <c r="BY30" i="10" s="1"/>
  <c r="BY22" i="8" s="1"/>
  <c r="BX30" i="10"/>
  <c r="BX22" i="8" s="1"/>
  <c r="BX34" i="10"/>
  <c r="BX23" i="8" s="1"/>
  <c r="BX12" i="7" s="1"/>
  <c r="BX33" i="10"/>
  <c r="BX14" i="8" s="1"/>
  <c r="BZ7" i="10"/>
  <c r="BZ6" i="10"/>
  <c r="CA4" i="10"/>
  <c r="BZ5" i="10"/>
  <c r="BX17" i="8" l="1"/>
  <c r="BX13" i="7"/>
  <c r="BY13" i="16"/>
  <c r="BY24" i="8"/>
  <c r="BY13" i="7" s="1"/>
  <c r="BY11" i="7"/>
  <c r="BW25" i="10"/>
  <c r="BW18" i="16" s="1"/>
  <c r="BX11" i="7"/>
  <c r="BX25" i="8"/>
  <c r="BW17" i="16"/>
  <c r="BW25" i="16" s="1"/>
  <c r="AN17" i="7"/>
  <c r="AN26" i="8"/>
  <c r="BX23" i="10"/>
  <c r="BX21" i="8" s="1"/>
  <c r="BY21" i="10"/>
  <c r="BY15" i="16" s="1"/>
  <c r="BY34" i="10"/>
  <c r="BY23" i="8" s="1"/>
  <c r="BY12" i="7" s="1"/>
  <c r="BY14" i="16"/>
  <c r="BX24" i="16"/>
  <c r="BY31" i="10"/>
  <c r="BY10" i="8" s="1"/>
  <c r="BZ24" i="10"/>
  <c r="CA22" i="10"/>
  <c r="BZ14" i="10"/>
  <c r="BZ15" i="10"/>
  <c r="BZ16" i="10"/>
  <c r="BZ19" i="10"/>
  <c r="BZ26" i="10"/>
  <c r="BZ21" i="16" s="1"/>
  <c r="BZ12" i="10"/>
  <c r="BZ13" i="10" s="1"/>
  <c r="BZ10" i="10"/>
  <c r="BZ10" i="16" s="1"/>
  <c r="BY27" i="10"/>
  <c r="BY22" i="16" s="1"/>
  <c r="BZ11" i="10"/>
  <c r="CA11" i="10" s="1"/>
  <c r="BY33" i="10"/>
  <c r="BY14" i="8" s="1"/>
  <c r="BZ20" i="10"/>
  <c r="CA6" i="10"/>
  <c r="CA7" i="10"/>
  <c r="CB4" i="10"/>
  <c r="CA5" i="10"/>
  <c r="BY25" i="8" l="1"/>
  <c r="BY23" i="10"/>
  <c r="BY21" i="8" s="1"/>
  <c r="BY17" i="8"/>
  <c r="BY14" i="7"/>
  <c r="BY18" i="7" s="1"/>
  <c r="BX17" i="16"/>
  <c r="BX25" i="16" s="1"/>
  <c r="BZ13" i="16"/>
  <c r="BZ24" i="8"/>
  <c r="BX25" i="10"/>
  <c r="BX18" i="16" s="1"/>
  <c r="BX14" i="7"/>
  <c r="BX18" i="7" s="1"/>
  <c r="AO20" i="8"/>
  <c r="AN19" i="7"/>
  <c r="AN22" i="7"/>
  <c r="AN23" i="7"/>
  <c r="AN29" i="8"/>
  <c r="BY24" i="16"/>
  <c r="CA20" i="10"/>
  <c r="CA14" i="16" s="1"/>
  <c r="BZ14" i="16"/>
  <c r="BY17" i="16"/>
  <c r="BY25" i="16" s="1"/>
  <c r="BZ21" i="10"/>
  <c r="BZ31" i="10"/>
  <c r="BZ10" i="8" s="1"/>
  <c r="BZ30" i="10"/>
  <c r="BZ22" i="8" s="1"/>
  <c r="BZ32" i="10"/>
  <c r="BZ13" i="8" s="1"/>
  <c r="CA24" i="10"/>
  <c r="CA14" i="10"/>
  <c r="CA30" i="10"/>
  <c r="CA22" i="8" s="1"/>
  <c r="CA31" i="10"/>
  <c r="CA10" i="8" s="1"/>
  <c r="CB22" i="10"/>
  <c r="CA15" i="10"/>
  <c r="CA16" i="10"/>
  <c r="CA33" i="10"/>
  <c r="CA14" i="8" s="1"/>
  <c r="CA19" i="10"/>
  <c r="CA24" i="8" s="1"/>
  <c r="CA13" i="7" s="1"/>
  <c r="CA26" i="10"/>
  <c r="CA21" i="16" s="1"/>
  <c r="CA12" i="10"/>
  <c r="CA13" i="10" s="1"/>
  <c r="BZ34" i="10"/>
  <c r="BZ23" i="8" s="1"/>
  <c r="BZ12" i="7" s="1"/>
  <c r="CB11" i="10"/>
  <c r="CA10" i="10"/>
  <c r="CA10" i="16" s="1"/>
  <c r="BZ27" i="10"/>
  <c r="BZ22" i="16" s="1"/>
  <c r="BZ33" i="10"/>
  <c r="BZ14" i="8" s="1"/>
  <c r="CB6" i="10"/>
  <c r="CB7" i="10"/>
  <c r="CB5" i="10"/>
  <c r="CC4" i="10"/>
  <c r="BY25" i="10" l="1"/>
  <c r="BY18" i="16" s="1"/>
  <c r="CA32" i="10"/>
  <c r="CA13" i="8" s="1"/>
  <c r="CA17" i="8" s="1"/>
  <c r="BZ11" i="7"/>
  <c r="BZ25" i="8"/>
  <c r="BZ17" i="8"/>
  <c r="CB20" i="10"/>
  <c r="CB14" i="16" s="1"/>
  <c r="BZ13" i="7"/>
  <c r="CA11" i="7"/>
  <c r="AO17" i="7"/>
  <c r="AO26" i="8"/>
  <c r="CA34" i="10"/>
  <c r="CA23" i="8" s="1"/>
  <c r="CA12" i="7" s="1"/>
  <c r="CA21" i="10"/>
  <c r="CA15" i="16" s="1"/>
  <c r="CA13" i="16"/>
  <c r="BZ23" i="10"/>
  <c r="BZ21" i="8" s="1"/>
  <c r="BZ15" i="16"/>
  <c r="CB10" i="10"/>
  <c r="CB10" i="16" s="1"/>
  <c r="CA27" i="10"/>
  <c r="CA22" i="16" s="1"/>
  <c r="CB33" i="10"/>
  <c r="CB14" i="8" s="1"/>
  <c r="CB24" i="10"/>
  <c r="CB30" i="10"/>
  <c r="CB22" i="8" s="1"/>
  <c r="CB14" i="10"/>
  <c r="CC22" i="10"/>
  <c r="CB15" i="10"/>
  <c r="CB16" i="10"/>
  <c r="CB31" i="10"/>
  <c r="CB10" i="8" s="1"/>
  <c r="CB19" i="10"/>
  <c r="CB24" i="8" s="1"/>
  <c r="CB13" i="7" s="1"/>
  <c r="CB26" i="10"/>
  <c r="CB21" i="16" s="1"/>
  <c r="CB12" i="10"/>
  <c r="CB13" i="10" s="1"/>
  <c r="CC6" i="10"/>
  <c r="CC7" i="10"/>
  <c r="CC5" i="10"/>
  <c r="CD4" i="10"/>
  <c r="CB32" i="10" l="1"/>
  <c r="CB13" i="8" s="1"/>
  <c r="CA25" i="8"/>
  <c r="CB11" i="7"/>
  <c r="CA14" i="7"/>
  <c r="CA18" i="7" s="1"/>
  <c r="CA23" i="10"/>
  <c r="CA21" i="8" s="1"/>
  <c r="BZ14" i="7"/>
  <c r="BZ18" i="7" s="1"/>
  <c r="CB17" i="8"/>
  <c r="CB34" i="10"/>
  <c r="CB23" i="8" s="1"/>
  <c r="CB12" i="7" s="1"/>
  <c r="AP20" i="8"/>
  <c r="AO19" i="7"/>
  <c r="AO22" i="7" s="1"/>
  <c r="AO23" i="7"/>
  <c r="AO29" i="8"/>
  <c r="CA24" i="16"/>
  <c r="BZ17" i="16"/>
  <c r="BZ25" i="16" s="1"/>
  <c r="BZ25" i="10"/>
  <c r="BZ18" i="16" s="1"/>
  <c r="CB21" i="10"/>
  <c r="CB13" i="16"/>
  <c r="BZ24" i="16"/>
  <c r="CC10" i="10"/>
  <c r="CC10" i="16" s="1"/>
  <c r="CB27" i="10"/>
  <c r="CB22" i="16" s="1"/>
  <c r="CC16" i="10"/>
  <c r="CC24" i="10"/>
  <c r="CD22" i="10"/>
  <c r="CC15" i="10"/>
  <c r="CC14" i="10"/>
  <c r="CC19" i="10"/>
  <c r="CC24" i="8" s="1"/>
  <c r="CC26" i="10"/>
  <c r="CC21" i="16" s="1"/>
  <c r="CC12" i="10"/>
  <c r="CC13" i="10" s="1"/>
  <c r="CC11" i="10"/>
  <c r="CC31" i="10" s="1"/>
  <c r="CC10" i="8" s="1"/>
  <c r="CC20" i="10"/>
  <c r="CD6" i="10"/>
  <c r="CD7" i="10"/>
  <c r="CD5" i="10"/>
  <c r="CE4" i="10"/>
  <c r="CC13" i="7" l="1"/>
  <c r="CA25" i="10"/>
  <c r="CA18" i="16" s="1"/>
  <c r="CB25" i="8"/>
  <c r="CA17" i="16"/>
  <c r="CA25" i="16" s="1"/>
  <c r="CB14" i="7"/>
  <c r="CB18" i="7" s="1"/>
  <c r="AP17" i="7"/>
  <c r="AP26" i="8"/>
  <c r="CB23" i="10"/>
  <c r="CB21" i="8" s="1"/>
  <c r="CB15" i="16"/>
  <c r="CD20" i="10"/>
  <c r="CD14" i="16" s="1"/>
  <c r="CC14" i="16"/>
  <c r="CC21" i="10"/>
  <c r="CC13" i="16"/>
  <c r="CC33" i="10"/>
  <c r="CC14" i="8" s="1"/>
  <c r="CC17" i="8" s="1"/>
  <c r="CE22" i="10"/>
  <c r="CD15" i="10"/>
  <c r="CD16" i="10"/>
  <c r="CD24" i="10"/>
  <c r="CD14" i="10"/>
  <c r="CD19" i="10"/>
  <c r="CD26" i="10"/>
  <c r="CD21" i="16" s="1"/>
  <c r="CD12" i="10"/>
  <c r="CD13" i="10" s="1"/>
  <c r="CC34" i="10"/>
  <c r="CC23" i="8" s="1"/>
  <c r="CC12" i="7" s="1"/>
  <c r="CD11" i="10"/>
  <c r="CE11" i="10" s="1"/>
  <c r="CC30" i="10"/>
  <c r="CC22" i="8" s="1"/>
  <c r="CC32" i="10"/>
  <c r="CC13" i="8" s="1"/>
  <c r="CD10" i="10"/>
  <c r="CD10" i="16" s="1"/>
  <c r="CC27" i="10"/>
  <c r="CC22" i="16" s="1"/>
  <c r="CE7" i="10"/>
  <c r="CE6" i="10"/>
  <c r="CE5" i="10"/>
  <c r="CF4" i="10"/>
  <c r="CD13" i="16" l="1"/>
  <c r="CD24" i="8"/>
  <c r="CC11" i="7"/>
  <c r="CC25" i="8"/>
  <c r="AQ20" i="8"/>
  <c r="AP19" i="7"/>
  <c r="AP22" i="7" s="1"/>
  <c r="AP29" i="8"/>
  <c r="AP23" i="7"/>
  <c r="CD34" i="10"/>
  <c r="CD23" i="8" s="1"/>
  <c r="CD12" i="7" s="1"/>
  <c r="CC23" i="10"/>
  <c r="CC21" i="8" s="1"/>
  <c r="CC15" i="16"/>
  <c r="CD32" i="10"/>
  <c r="CD13" i="8" s="1"/>
  <c r="CD21" i="10"/>
  <c r="CD15" i="16" s="1"/>
  <c r="CD24" i="16" s="1"/>
  <c r="CB17" i="16"/>
  <c r="CB25" i="16" s="1"/>
  <c r="CB25" i="10"/>
  <c r="CB18" i="16" s="1"/>
  <c r="CB24" i="16"/>
  <c r="CD33" i="10"/>
  <c r="CD14" i="8" s="1"/>
  <c r="CE10" i="10"/>
  <c r="CE10" i="16" s="1"/>
  <c r="CD27" i="10"/>
  <c r="CD22" i="16" s="1"/>
  <c r="CD30" i="10"/>
  <c r="CD22" i="8" s="1"/>
  <c r="CD31" i="10"/>
  <c r="CD10" i="8" s="1"/>
  <c r="CE30" i="10"/>
  <c r="CE22" i="8" s="1"/>
  <c r="CE14" i="10"/>
  <c r="CE31" i="10"/>
  <c r="CE10" i="8" s="1"/>
  <c r="CF22" i="10"/>
  <c r="CE15" i="10"/>
  <c r="CE16" i="10"/>
  <c r="CE33" i="10"/>
  <c r="CE14" i="8" s="1"/>
  <c r="CE24" i="10"/>
  <c r="CE19" i="10"/>
  <c r="CE26" i="10"/>
  <c r="CE21" i="16" s="1"/>
  <c r="CE12" i="10"/>
  <c r="CE13" i="10" s="1"/>
  <c r="CE20" i="10"/>
  <c r="CF7" i="10"/>
  <c r="CF6" i="10"/>
  <c r="CG4" i="10"/>
  <c r="CF5" i="10"/>
  <c r="CF11" i="10" s="1"/>
  <c r="CD17" i="8" l="1"/>
  <c r="CE13" i="16"/>
  <c r="CE24" i="8"/>
  <c r="CE13" i="7" s="1"/>
  <c r="CC14" i="7"/>
  <c r="CC18" i="7" s="1"/>
  <c r="CD11" i="7"/>
  <c r="CD25" i="8"/>
  <c r="CD13" i="7"/>
  <c r="CE11" i="7"/>
  <c r="AQ17" i="7"/>
  <c r="AQ26" i="8"/>
  <c r="CD23" i="10"/>
  <c r="CD21" i="8" s="1"/>
  <c r="CF20" i="10"/>
  <c r="CF14" i="16" s="1"/>
  <c r="CE14" i="16"/>
  <c r="CC24" i="16"/>
  <c r="CC17" i="16"/>
  <c r="CC25" i="16" s="1"/>
  <c r="CC25" i="10"/>
  <c r="CC18" i="16" s="1"/>
  <c r="CE34" i="10"/>
  <c r="CE23" i="8" s="1"/>
  <c r="CE12" i="7" s="1"/>
  <c r="CE21" i="10"/>
  <c r="CE32" i="10"/>
  <c r="CE13" i="8" s="1"/>
  <c r="CE17" i="8" s="1"/>
  <c r="CF30" i="10"/>
  <c r="CF22" i="8" s="1"/>
  <c r="CF14" i="10"/>
  <c r="CF33" i="10"/>
  <c r="CF14" i="8" s="1"/>
  <c r="CF31" i="10"/>
  <c r="CF10" i="8" s="1"/>
  <c r="CG22" i="10"/>
  <c r="CF15" i="10"/>
  <c r="CF16" i="10"/>
  <c r="CF24" i="10"/>
  <c r="CF19" i="10"/>
  <c r="CF24" i="8" s="1"/>
  <c r="CF13" i="7" s="1"/>
  <c r="CF26" i="10"/>
  <c r="CF21" i="16" s="1"/>
  <c r="CF12" i="10"/>
  <c r="CF13" i="10" s="1"/>
  <c r="CF10" i="10"/>
  <c r="CF10" i="16" s="1"/>
  <c r="CE27" i="10"/>
  <c r="CE22" i="16" s="1"/>
  <c r="CG5" i="10"/>
  <c r="CG6" i="10"/>
  <c r="CG7" i="10"/>
  <c r="CD14" i="7" l="1"/>
  <c r="CD18" i="7" s="1"/>
  <c r="CF34" i="10"/>
  <c r="CF23" i="8" s="1"/>
  <c r="CF12" i="7" s="1"/>
  <c r="CE25" i="8"/>
  <c r="CF11" i="7"/>
  <c r="CF14" i="7" s="1"/>
  <c r="CF18" i="7" s="1"/>
  <c r="CF25" i="8"/>
  <c r="CD25" i="10"/>
  <c r="CD18" i="16" s="1"/>
  <c r="CE14" i="7"/>
  <c r="CE18" i="7" s="1"/>
  <c r="CD17" i="16"/>
  <c r="CD25" i="16" s="1"/>
  <c r="AR20" i="8"/>
  <c r="AQ19" i="7"/>
  <c r="AQ29" i="8"/>
  <c r="AQ23" i="7"/>
  <c r="AQ22" i="7"/>
  <c r="CF32" i="10"/>
  <c r="CF13" i="8" s="1"/>
  <c r="CF17" i="8" s="1"/>
  <c r="CE23" i="10"/>
  <c r="CE21" i="8" s="1"/>
  <c r="CE15" i="16"/>
  <c r="CF21" i="10"/>
  <c r="CF15" i="16" s="1"/>
  <c r="CF13" i="16"/>
  <c r="CG15" i="10"/>
  <c r="CG16" i="10"/>
  <c r="CG14" i="10"/>
  <c r="CG24" i="10"/>
  <c r="CG19" i="10"/>
  <c r="CG26" i="10"/>
  <c r="CG21" i="16" s="1"/>
  <c r="H36" i="16" s="1"/>
  <c r="CG12" i="10"/>
  <c r="CG13" i="10" s="1"/>
  <c r="CG10" i="10"/>
  <c r="CG10" i="16" s="1"/>
  <c r="CF27" i="10"/>
  <c r="CF22" i="16" s="1"/>
  <c r="CF23" i="10"/>
  <c r="CF21" i="8" s="1"/>
  <c r="CG20" i="10"/>
  <c r="CG11" i="10"/>
  <c r="CG30" i="10" s="1"/>
  <c r="CG22" i="8" s="1"/>
  <c r="B17" i="5" a="1"/>
  <c r="B17" i="5" s="1"/>
  <c r="B18" i="5" s="1"/>
  <c r="B15" i="5" a="1"/>
  <c r="B15" i="5" s="1"/>
  <c r="B16" i="5" s="1"/>
  <c r="CG13" i="16" l="1"/>
  <c r="CG24" i="8"/>
  <c r="CG11" i="7"/>
  <c r="G46" i="8"/>
  <c r="H46" i="8"/>
  <c r="AR17" i="7"/>
  <c r="AR26" i="8"/>
  <c r="CG34" i="10"/>
  <c r="CG23" i="8" s="1"/>
  <c r="CG25" i="8" s="1"/>
  <c r="CG14" i="16"/>
  <c r="CF25" i="10"/>
  <c r="CF18" i="16" s="1"/>
  <c r="CF17" i="16"/>
  <c r="CF25" i="16" s="1"/>
  <c r="E30" i="16"/>
  <c r="F30" i="16"/>
  <c r="G30" i="16"/>
  <c r="H30" i="16"/>
  <c r="CF24" i="16"/>
  <c r="E31" i="16"/>
  <c r="F31" i="16"/>
  <c r="G31" i="16"/>
  <c r="H31" i="16"/>
  <c r="CE24" i="16"/>
  <c r="CE25" i="10"/>
  <c r="CE18" i="16" s="1"/>
  <c r="CE17" i="16"/>
  <c r="CE25" i="16" s="1"/>
  <c r="CG21" i="10"/>
  <c r="CG15" i="16" s="1"/>
  <c r="CG32" i="10"/>
  <c r="CG13" i="8" s="1"/>
  <c r="H38" i="8" s="1"/>
  <c r="CG33" i="10"/>
  <c r="CG14" i="8" s="1"/>
  <c r="H39" i="8" s="1"/>
  <c r="CG31" i="10"/>
  <c r="CG10" i="8" s="1"/>
  <c r="CG27" i="10"/>
  <c r="CG22" i="16" s="1"/>
  <c r="CG23" i="10" l="1"/>
  <c r="CG21" i="8" s="1"/>
  <c r="H35" i="8"/>
  <c r="H42" i="8" s="1"/>
  <c r="CG17" i="8"/>
  <c r="G29" i="7"/>
  <c r="H29" i="7"/>
  <c r="CG13" i="7"/>
  <c r="CG14" i="7" s="1"/>
  <c r="CG18" i="7" s="1"/>
  <c r="F48" i="8"/>
  <c r="G48" i="8"/>
  <c r="H48" i="8"/>
  <c r="CG12" i="7"/>
  <c r="F47" i="8"/>
  <c r="G47" i="8"/>
  <c r="H47" i="8"/>
  <c r="AS20" i="8"/>
  <c r="AR19" i="7"/>
  <c r="AR22" i="7" s="1"/>
  <c r="AR23" i="7"/>
  <c r="AR29" i="8"/>
  <c r="CG17" i="16"/>
  <c r="CG25" i="16" s="1"/>
  <c r="CG25" i="10"/>
  <c r="CG18" i="16" s="1"/>
  <c r="E34" i="16"/>
  <c r="E35" i="16" s="1"/>
  <c r="E37" i="16"/>
  <c r="H37" i="16"/>
  <c r="CG24" i="16"/>
  <c r="F33" i="16"/>
  <c r="F34" i="16" s="1"/>
  <c r="F35" i="16" s="1"/>
  <c r="G33" i="16"/>
  <c r="G34" i="16" s="1"/>
  <c r="G35" i="16" s="1"/>
  <c r="F37" i="16"/>
  <c r="G37" i="16"/>
  <c r="F32" i="16"/>
  <c r="G32" i="16"/>
  <c r="H32" i="16"/>
  <c r="B47" i="5"/>
  <c r="B48" i="5" s="1"/>
  <c r="H33" i="16"/>
  <c r="H34" i="16" s="1"/>
  <c r="H35" i="16" s="1"/>
  <c r="H49" i="8" l="1"/>
  <c r="F49" i="8"/>
  <c r="F30" i="7"/>
  <c r="G30" i="7"/>
  <c r="H30" i="7"/>
  <c r="F31" i="7"/>
  <c r="F32" i="7" s="1"/>
  <c r="F36" i="7" s="1"/>
  <c r="G31" i="7"/>
  <c r="H31" i="7"/>
  <c r="G49" i="8"/>
  <c r="AS17" i="7"/>
  <c r="AS26" i="8"/>
  <c r="H32" i="7" l="1"/>
  <c r="H36" i="7" s="1"/>
  <c r="G32" i="7"/>
  <c r="G36" i="7" s="1"/>
  <c r="AT20" i="8"/>
  <c r="AS19" i="7"/>
  <c r="AS23" i="7"/>
  <c r="AS22" i="7"/>
  <c r="AS29" i="8"/>
  <c r="AT17" i="7" l="1"/>
  <c r="AT26" i="8"/>
  <c r="AT19" i="7" l="1"/>
  <c r="AT22" i="7" s="1"/>
  <c r="AU20" i="8"/>
  <c r="AT29" i="8"/>
  <c r="AT23" i="7"/>
  <c r="AU17" i="7" l="1"/>
  <c r="AU26" i="8"/>
  <c r="AV20" i="8" l="1"/>
  <c r="AU19" i="7"/>
  <c r="AU22" i="7" s="1"/>
  <c r="AU23" i="7"/>
  <c r="AU29" i="8"/>
  <c r="AV17" i="7" l="1"/>
  <c r="AV26" i="8"/>
  <c r="AW20" i="8" l="1"/>
  <c r="AV19" i="7"/>
  <c r="AV23" i="7"/>
  <c r="AV22" i="7"/>
  <c r="AV29" i="8"/>
  <c r="AW17" i="7" l="1"/>
  <c r="AW26" i="8"/>
  <c r="AW23" i="7" l="1"/>
  <c r="E50" i="8"/>
  <c r="E53" i="8" s="1"/>
  <c r="AW19" i="7"/>
  <c r="AX20" i="8"/>
  <c r="AW29" i="8"/>
  <c r="AW22" i="7" l="1"/>
  <c r="E37" i="7"/>
  <c r="E40" i="7" s="1"/>
  <c r="F45" i="8"/>
  <c r="F54" i="8" s="1"/>
  <c r="AX17" i="7"/>
  <c r="F35" i="7" s="1"/>
  <c r="AX26" i="8"/>
  <c r="F41" i="7" l="1"/>
  <c r="AX19" i="7"/>
  <c r="AX22" i="7" s="1"/>
  <c r="AY20" i="8"/>
  <c r="AX29" i="8"/>
  <c r="AX23" i="7"/>
  <c r="AY17" i="7" l="1"/>
  <c r="AY26" i="8"/>
  <c r="AY29" i="8" s="1"/>
  <c r="AZ20" i="8" l="1"/>
  <c r="AY19" i="7"/>
  <c r="AY22" i="7" s="1"/>
  <c r="AY23" i="7"/>
  <c r="AZ17" i="7" l="1"/>
  <c r="AZ26" i="8"/>
  <c r="BA20" i="8" l="1"/>
  <c r="AZ19" i="7"/>
  <c r="AZ23" i="7"/>
  <c r="AZ22" i="7"/>
  <c r="AZ29" i="8"/>
  <c r="BA17" i="7" l="1"/>
  <c r="BA26" i="8"/>
  <c r="BB20" i="8" l="1"/>
  <c r="BA19" i="7"/>
  <c r="BA22" i="7" s="1"/>
  <c r="BA29" i="8"/>
  <c r="BA23" i="7"/>
  <c r="BB17" i="7" l="1"/>
  <c r="BB26" i="8"/>
  <c r="BB19" i="7" l="1"/>
  <c r="BB22" i="7" s="1"/>
  <c r="BC20" i="8"/>
  <c r="BB29" i="8"/>
  <c r="BB23" i="7"/>
  <c r="BC17" i="7" l="1"/>
  <c r="BC26" i="8"/>
  <c r="BC23" i="7" l="1"/>
  <c r="BD20" i="8"/>
  <c r="BC19" i="7"/>
  <c r="BC22" i="7" s="1"/>
  <c r="BC29" i="8"/>
  <c r="BD17" i="7" l="1"/>
  <c r="BD26" i="8"/>
  <c r="BD23" i="7" l="1"/>
  <c r="BE20" i="8"/>
  <c r="BD19" i="7"/>
  <c r="BD22" i="7" s="1"/>
  <c r="BD29" i="8"/>
  <c r="BE17" i="7" l="1"/>
  <c r="BE26" i="8"/>
  <c r="BF20" i="8" l="1"/>
  <c r="BE19" i="7"/>
  <c r="BE23" i="7"/>
  <c r="BE22" i="7"/>
  <c r="BE29" i="8"/>
  <c r="BF17" i="7" l="1"/>
  <c r="BF26" i="8"/>
  <c r="BG20" i="8" l="1"/>
  <c r="BF19" i="7"/>
  <c r="BF22" i="7" s="1"/>
  <c r="BF29" i="8"/>
  <c r="BF23" i="7"/>
  <c r="BG17" i="7" l="1"/>
  <c r="BG26" i="8"/>
  <c r="BH20" i="8" l="1"/>
  <c r="BG19" i="7"/>
  <c r="BG22" i="7" s="1"/>
  <c r="BG29" i="8"/>
  <c r="BG23" i="7"/>
  <c r="BH17" i="7" l="1"/>
  <c r="BH26" i="8"/>
  <c r="BI20" i="8" l="1"/>
  <c r="BH19" i="7"/>
  <c r="BH23" i="7"/>
  <c r="BH22" i="7"/>
  <c r="BH29" i="8"/>
  <c r="BI17" i="7" l="1"/>
  <c r="BI26" i="8"/>
  <c r="BI19" i="7" l="1"/>
  <c r="BJ20" i="8"/>
  <c r="F50" i="8"/>
  <c r="F53" i="8" s="1"/>
  <c r="BI23" i="7"/>
  <c r="BI29" i="8"/>
  <c r="BI22" i="7" l="1"/>
  <c r="F37" i="7"/>
  <c r="F40" i="7" s="1"/>
  <c r="BJ17" i="7"/>
  <c r="G35" i="7" s="1"/>
  <c r="BJ26" i="8"/>
  <c r="G45" i="8"/>
  <c r="G54" i="8" s="1"/>
  <c r="G41" i="7" l="1"/>
  <c r="BJ19" i="7"/>
  <c r="BJ22" i="7" s="1"/>
  <c r="BK20" i="8"/>
  <c r="BJ29" i="8"/>
  <c r="BJ23" i="7"/>
  <c r="BK17" i="7" l="1"/>
  <c r="BK26" i="8"/>
  <c r="BK19" i="7" l="1"/>
  <c r="BK22" i="7" s="1"/>
  <c r="BL20" i="8"/>
  <c r="BK23" i="7"/>
  <c r="BK29" i="8"/>
  <c r="BL17" i="7" l="1"/>
  <c r="BL26" i="8"/>
  <c r="BM20" i="8" l="1"/>
  <c r="BL19" i="7"/>
  <c r="BL22" i="7" s="1"/>
  <c r="BL23" i="7"/>
  <c r="BL29" i="8"/>
  <c r="BM17" i="7" l="1"/>
  <c r="BM26" i="8"/>
  <c r="BM19" i="7" l="1"/>
  <c r="BM22" i="7" s="1"/>
  <c r="BN20" i="8"/>
  <c r="BM23" i="7"/>
  <c r="BM29" i="8"/>
  <c r="BN17" i="7" l="1"/>
  <c r="BN26" i="8"/>
  <c r="BO20" i="8" l="1"/>
  <c r="BN19" i="7"/>
  <c r="BN29" i="8"/>
  <c r="BN23" i="7"/>
  <c r="BN22" i="7"/>
  <c r="BO17" i="7" l="1"/>
  <c r="BO26" i="8"/>
  <c r="BP20" i="8" l="1"/>
  <c r="BO19" i="7"/>
  <c r="BO29" i="8"/>
  <c r="BO23" i="7"/>
  <c r="BO22" i="7"/>
  <c r="BP17" i="7" l="1"/>
  <c r="BP26" i="8"/>
  <c r="BP23" i="7" l="1"/>
  <c r="BP19" i="7"/>
  <c r="BP22" i="7" s="1"/>
  <c r="BQ20" i="8"/>
  <c r="BP29" i="8"/>
  <c r="BQ17" i="7" l="1"/>
  <c r="BQ26" i="8"/>
  <c r="BQ19" i="7" l="1"/>
  <c r="BQ22" i="7" s="1"/>
  <c r="BR20" i="8"/>
  <c r="BQ23" i="7"/>
  <c r="BQ29" i="8"/>
  <c r="BR17" i="7" l="1"/>
  <c r="BR26" i="8"/>
  <c r="BS20" i="8" l="1"/>
  <c r="BR19" i="7"/>
  <c r="BR29" i="8"/>
  <c r="BR23" i="7"/>
  <c r="BR22" i="7"/>
  <c r="BS17" i="7" l="1"/>
  <c r="BS26" i="8"/>
  <c r="BT20" i="8" l="1"/>
  <c r="BS19" i="7"/>
  <c r="BS23" i="7"/>
  <c r="BS22" i="7"/>
  <c r="BS29" i="8"/>
  <c r="BT17" i="7" l="1"/>
  <c r="BT26" i="8"/>
  <c r="BT23" i="7" l="1"/>
  <c r="BU20" i="8"/>
  <c r="BT19" i="7"/>
  <c r="BT22" i="7" s="1"/>
  <c r="BT29" i="8"/>
  <c r="BU17" i="7" l="1"/>
  <c r="BU26" i="8"/>
  <c r="BU23" i="7" l="1"/>
  <c r="G50" i="8"/>
  <c r="G53" i="8" s="1"/>
  <c r="BU19" i="7"/>
  <c r="BV20" i="8"/>
  <c r="BU29" i="8"/>
  <c r="BU22" i="7" l="1"/>
  <c r="G37" i="7"/>
  <c r="G40" i="7" s="1"/>
  <c r="H45" i="8"/>
  <c r="H54" i="8" s="1"/>
  <c r="BV17" i="7"/>
  <c r="H35" i="7" s="1"/>
  <c r="BV26" i="8"/>
  <c r="B49" i="8"/>
  <c r="B53" i="8" s="1"/>
  <c r="H41" i="7" l="1"/>
  <c r="BW20" i="8"/>
  <c r="BV19" i="7"/>
  <c r="BV22" i="7" s="1"/>
  <c r="BV29" i="8"/>
  <c r="BV23" i="7"/>
  <c r="BW17" i="7" l="1"/>
  <c r="BW26" i="8"/>
  <c r="BX20" i="8" l="1"/>
  <c r="BW19" i="7"/>
  <c r="BW29" i="8"/>
  <c r="BW23" i="7"/>
  <c r="BW22" i="7"/>
  <c r="BX17" i="7" l="1"/>
  <c r="BX26" i="8"/>
  <c r="BY20" i="8" l="1"/>
  <c r="BX19" i="7"/>
  <c r="BX22" i="7" s="1"/>
  <c r="BX23" i="7"/>
  <c r="BX29" i="8"/>
  <c r="BY17" i="7" l="1"/>
  <c r="BY26" i="8"/>
  <c r="BZ20" i="8" l="1"/>
  <c r="BY19" i="7"/>
  <c r="BY22" i="7" s="1"/>
  <c r="BY23" i="7"/>
  <c r="BY29" i="8"/>
  <c r="BZ17" i="7" l="1"/>
  <c r="BZ26" i="8"/>
  <c r="CA20" i="8" l="1"/>
  <c r="BZ19" i="7"/>
  <c r="BZ29" i="8"/>
  <c r="BZ23" i="7"/>
  <c r="BZ22" i="7"/>
  <c r="CA17" i="7" l="1"/>
  <c r="CA26" i="8"/>
  <c r="CB20" i="8" l="1"/>
  <c r="CA19" i="7"/>
  <c r="CA23" i="7"/>
  <c r="CA22" i="7"/>
  <c r="CA29" i="8"/>
  <c r="CB17" i="7" l="1"/>
  <c r="CB26" i="8"/>
  <c r="CC20" i="8" l="1"/>
  <c r="CB19" i="7"/>
  <c r="CB22" i="7" s="1"/>
  <c r="CB23" i="7"/>
  <c r="CB29" i="8"/>
  <c r="CC17" i="7" l="1"/>
  <c r="CC26" i="8"/>
  <c r="CD20" i="8" l="1"/>
  <c r="CC19" i="7"/>
  <c r="CC22" i="7" s="1"/>
  <c r="CC29" i="8"/>
  <c r="CC23" i="7"/>
  <c r="CD17" i="7" l="1"/>
  <c r="CD26" i="8"/>
  <c r="CE20" i="8" l="1"/>
  <c r="CD19" i="7"/>
  <c r="CD22" i="7" s="1"/>
  <c r="CD29" i="8"/>
  <c r="CD23" i="7"/>
  <c r="CE17" i="7" l="1"/>
  <c r="CE26" i="8"/>
  <c r="CF20" i="8" l="1"/>
  <c r="CE19" i="7"/>
  <c r="CE29" i="8"/>
  <c r="CE22" i="7"/>
  <c r="CE23" i="7"/>
  <c r="CF17" i="7" l="1"/>
  <c r="CF26" i="8"/>
  <c r="CF23" i="7" l="1"/>
  <c r="CG20" i="8"/>
  <c r="CF19" i="7"/>
  <c r="CF22" i="7" s="1"/>
  <c r="CF29" i="8"/>
  <c r="CG17" i="7" l="1"/>
  <c r="CG26" i="8"/>
  <c r="H50" i="8" l="1"/>
  <c r="H53" i="8" s="1"/>
  <c r="CG19" i="7"/>
  <c r="H37" i="7" s="1"/>
  <c r="H40" i="7" s="1"/>
  <c r="CG29" i="8"/>
  <c r="CG23" i="7"/>
  <c r="CG22" i="7" l="1"/>
  <c r="B16" i="6" l="1"/>
  <c r="B17" i="6" s="1"/>
  <c r="B24" i="6" l="1"/>
  <c r="B28" i="6" s="1"/>
  <c r="B3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F0C7F9-031B-41E4-9530-E7BC26E248EE}" keepAlive="1" name="Query - pq_ap_monthly_actuals" description="Connection to the 'pq_ap_monthly_actuals' query in the workbook." type="5" refreshedVersion="0" background="1">
    <dbPr connection="Provider=Microsoft.Mashup.OleDb.1;Data Source=$Workbook$;Location=pq_ap_monthly_actuals;Extended Properties=&quot;&quot;" command="SELECT * FROM [pq_ap_monthly_actuals]"/>
  </connection>
  <connection id="2" xr16:uid="{FCCFD802-A119-4504-ACD6-562D2808A539}" keepAlive="1" name="Query - pq_deferred_revenue_monthly_actuals" description="Connection to the 'pq_deferred_revenue_monthly_actuals' query in the workbook." type="5" refreshedVersion="0" background="1">
    <dbPr connection="Provider=Microsoft.Mashup.OleDb.1;Data Source=$Workbook$;Location=pq_deferred_revenue_monthly_actuals;Extended Properties=&quot;&quot;" command="SELECT * FROM [pq_deferred_revenue_monthly_actuals]"/>
  </connection>
  <connection id="3" xr16:uid="{8FC604F2-136F-43C8-9DEC-EED92F13478C}" keepAlive="1" name="Query - pq_model_feed_final" description="Connection to the 'pq_model_feed_final' query in the workbook." type="5" refreshedVersion="8" background="1" saveData="1">
    <dbPr connection="Provider=Microsoft.Mashup.OleDb.1;Data Source=$Workbook$;Location=pq_model_feed_final;Extended Properties=&quot;&quot;" command="SELECT * FROM [pq_model_feed_final]"/>
  </connection>
  <connection id="4" xr16:uid="{545E0776-F32F-4210-8889-AB374271F9F4}" keepAlive="1" name="Query - pq_monthly_actuals_feed" description="Connection to the 'pq_monthly_actuals_feed' query in the workbook." type="5" refreshedVersion="8" background="1" saveData="1">
    <dbPr connection="Provider=Microsoft.Mashup.OleDb.1;Data Source=$Workbook$;Location=pq_monthly_actuals_feed;Extended Properties=&quot;&quot;" command="SELECT * FROM [pq_monthly_actuals_feed]"/>
  </connection>
  <connection id="5" xr16:uid="{53F8860A-CA3A-4E33-8B42-CEA1CA2ACAD5}" keepAlive="1" name="Query - pq_o2c_monthly_actuals" description="Connection to the 'pq_o2c_monthly_actuals' query in the workbook." type="5" refreshedVersion="0" background="1">
    <dbPr connection="Provider=Microsoft.Mashup.OleDb.1;Data Source=$Workbook$;Location=pq_o2c_monthly_actuals;Extended Properties=&quot;&quot;" command="SELECT * FROM [pq_o2c_monthly_actuals]"/>
  </connection>
  <connection id="6" xr16:uid="{C73AEDEC-0B9A-4B33-8505-3069D75F1A65}" keepAlive="1" name="Query - pq_revenue_monthly_actuals" description="Connection to the 'pq_revenue_monthly_actuals' query in the workbook." type="5" refreshedVersion="0" background="1">
    <dbPr connection="Provider=Microsoft.Mashup.OleDb.1;Data Source=$Workbook$;Location=pq_revenue_monthly_actuals;Extended Properties=&quot;&quot;" command="SELECT * FROM [pq_revenue_monthly_actuals]"/>
  </connection>
  <connection id="7" xr16:uid="{E5BFA14A-27B1-4F4E-882A-40325438FE89}" keepAlive="1" name="Query - pq_saas_arr_monthly_actuals" description="Connection to the 'pq_saas_arr_monthly_actuals' query in the workbook." type="5" refreshedVersion="0" background="1">
    <dbPr connection="Provider=Microsoft.Mashup.OleDb.1;Data Source=$Workbook$;Location=pq_saas_arr_monthly_actuals;Extended Properties=&quot;&quot;" command="SELECT * FROM [pq_saas_arr_monthly_actuals]"/>
  </connection>
  <connection id="8" xr16:uid="{658D6BBB-A05D-4BD3-A4E9-F2E8DD0193E6}" keepAlive="1" name="Query - pq_saas_retention_monthly_actuals" description="Connection to the 'pq_saas_retention_monthly_actuals' query in the workbook." type="5" refreshedVersion="0" background="1">
    <dbPr connection="Provider=Microsoft.Mashup.OleDb.1;Data Source=$Workbook$;Location=pq_saas_retention_monthly_actuals;Extended Properties=&quot;&quot;" command="SELECT * FROM [pq_saas_retention_monthly_actuals]"/>
  </connection>
  <connection id="9" xr16:uid="{BC1053A8-3E10-4132-9734-EDF6FF87D443}" keepAlive="1" name="Query - pq_workforce_monthly_actuals" description="Connection to the 'pq_workforce_monthly_actuals' query in the workbook." type="5" refreshedVersion="0" background="1">
    <dbPr connection="Provider=Microsoft.Mashup.OleDb.1;Data Source=$Workbook$;Location=pq_workforce_monthly_actuals;Extended Properties=&quot;&quot;" command="SELECT * FROM [pq_workforce_monthly_actuals]"/>
  </connection>
  <connection id="10" xr16:uid="{5085C0B7-1208-4C65-A696-572385C6F36C}" keepAlive="1" name="Query - src_ap_working_capital_control" description="Connection to the 'src_ap_working_capital_control' query in the workbook." type="5" refreshedVersion="0" background="1">
    <dbPr connection="Provider=Microsoft.Mashup.OleDb.1;Data Source=$Workbook$;Location=src_ap_working_capital_control;Extended Properties=&quot;&quot;" command="SELECT * FROM [src_ap_working_capital_control]"/>
  </connection>
  <connection id="11" xr16:uid="{048AFBF9-35E6-42F5-85B3-FC3A064AE281}" keepAlive="1" name="Query - src_deferred_revenue_control" description="Connection to the 'src_deferred_revenue_control' query in the workbook." type="5" refreshedVersion="0" background="1">
    <dbPr connection="Provider=Microsoft.Mashup.OleDb.1;Data Source=$Workbook$;Location=src_deferred_revenue_control;Extended Properties=&quot;&quot;" command="SELECT * FROM [src_deferred_revenue_control]"/>
  </connection>
  <connection id="12" xr16:uid="{4BA52B50-685A-44B6-9E30-F7A9E74C23CD}" keepAlive="1" name="Query - src_o2c_customer_collections" description="Connection to the 'src_o2c_customer_collections' query in the workbook." type="5" refreshedVersion="0" background="1">
    <dbPr connection="Provider=Microsoft.Mashup.OleDb.1;Data Source=$Workbook$;Location=src_o2c_customer_collections;Extended Properties=&quot;&quot;" command="SELECT * FROM [src_o2c_customer_collections]"/>
  </connection>
  <connection id="13" xr16:uid="{A33994E9-6E39-4E0F-B9D7-3F97099CD163}" keepAlive="1" name="Query - src_revenue_waterfall" description="Connection to the 'src_revenue_waterfall' query in the workbook." type="5" refreshedVersion="0" background="1">
    <dbPr connection="Provider=Microsoft.Mashup.OleDb.1;Data Source=$Workbook$;Location=src_revenue_waterfall;Extended Properties=&quot;&quot;" command="SELECT * FROM [src_revenue_waterfall]"/>
  </connection>
  <connection id="14" xr16:uid="{CC512753-8EE7-42CD-B0BA-0240FD12F124}" keepAlive="1" name="Query - src_saas_arr_movement" description="Connection to the 'src_saas_arr_movement' query in the workbook." type="5" refreshedVersion="0" background="1">
    <dbPr connection="Provider=Microsoft.Mashup.OleDb.1;Data Source=$Workbook$;Location=src_saas_arr_movement;Extended Properties=&quot;&quot;" command="SELECT * FROM [src_saas_arr_movement]"/>
  </connection>
  <connection id="15" xr16:uid="{21383178-0D59-42B5-B9CF-655FD61B8560}" keepAlive="1" name="Query - src_saas_retention" description="Connection to the 'src_saas_retention' query in the workbook." type="5" refreshedVersion="0" background="1">
    <dbPr connection="Provider=Microsoft.Mashup.OleDb.1;Data Source=$Workbook$;Location=src_saas_retention;Extended Properties=&quot;&quot;" command="SELECT * FROM [src_saas_retention]"/>
  </connection>
  <connection id="16" xr16:uid="{B5AE00F9-0829-4918-81FE-244A795E09CA}" keepAlive="1" name="Query - src_workforce_cost_control" description="Connection to the 'src_workforce_cost_control' query in the workbook." type="5" refreshedVersion="0" background="1">
    <dbPr connection="Provider=Microsoft.Mashup.OleDb.1;Data Source=$Workbook$;Location=src_workforce_cost_control;Extended Properties=&quot;&quot;" command="SELECT * FROM [src_workforce_cost_contro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<sst xmlns="http://schemas.openxmlformats.org/spreadsheetml/2006/main" count="803" uniqueCount="310">
  <si>
    <t>Company Total</t>
  </si>
  <si>
    <t>Payroll Cost</t>
  </si>
  <si>
    <t>Cash Collected</t>
  </si>
  <si>
    <t>Value</t>
  </si>
  <si>
    <t>Reporting Scope</t>
  </si>
  <si>
    <t>Field</t>
  </si>
  <si>
    <t>Model Start Month</t>
  </si>
  <si>
    <t>Actuals Through</t>
  </si>
  <si>
    <t>Forecast Start Month</t>
  </si>
  <si>
    <t>Forecast End Month</t>
  </si>
  <si>
    <t>Currency</t>
  </si>
  <si>
    <t>GBP</t>
  </si>
  <si>
    <t>Control Panel</t>
  </si>
  <si>
    <t xml:space="preserve">Nexus Technologies — Integrated Financial Model </t>
  </si>
  <si>
    <t>Units</t>
  </si>
  <si>
    <t>£ actual</t>
  </si>
  <si>
    <t>Scenario</t>
  </si>
  <si>
    <t>Base</t>
  </si>
  <si>
    <t>Model Version</t>
  </si>
  <si>
    <t>v0.1</t>
  </si>
  <si>
    <t>Last Updated</t>
  </si>
  <si>
    <t>Month</t>
  </si>
  <si>
    <t>Period Type</t>
  </si>
  <si>
    <t>Quarter</t>
  </si>
  <si>
    <t>Nexus Technologies — Monthly Financial Model</t>
  </si>
  <si>
    <t>Currency: GBP / Units: £ actual</t>
  </si>
  <si>
    <t xml:space="preserve"> </t>
  </si>
  <si>
    <t>Revenue &amp; ARR</t>
  </si>
  <si>
    <t>Recognised Revenue</t>
  </si>
  <si>
    <t>Billings</t>
  </si>
  <si>
    <t>Operating Costs</t>
  </si>
  <si>
    <t>Operating Profit</t>
  </si>
  <si>
    <t>Working Capital</t>
  </si>
  <si>
    <t>Deferred Revenue</t>
  </si>
  <si>
    <t>Built from Project Atlas Gold Finance Warehouse</t>
  </si>
  <si>
    <t>Prepared by: Lewis Andrews</t>
  </si>
  <si>
    <t>Version: v0.1</t>
  </si>
  <si>
    <t>Currency: GBP</t>
  </si>
  <si>
    <t>Model period: Jan-2023 to Dec-2029</t>
  </si>
  <si>
    <t>© 2023 to 2026 Atlas Intelligence Platform</t>
  </si>
  <si>
    <t>Notes</t>
  </si>
  <si>
    <t>Scenario_List</t>
  </si>
  <si>
    <t>Units_List</t>
  </si>
  <si>
    <t>Reporting_Scope_List</t>
  </si>
  <si>
    <t>Upside</t>
  </si>
  <si>
    <t>Region Total</t>
  </si>
  <si>
    <t>Downside</t>
  </si>
  <si>
    <t>£m</t>
  </si>
  <si>
    <t>Business Unit Total</t>
  </si>
  <si>
    <t>Unit Scale Factor</t>
  </si>
  <si>
    <t>£000</t>
  </si>
  <si>
    <t>Source Area</t>
  </si>
  <si>
    <t>File Name</t>
  </si>
  <si>
    <t>Query Name</t>
  </si>
  <si>
    <t>Load Type</t>
  </si>
  <si>
    <t>Status</t>
  </si>
  <si>
    <t>Revenue</t>
  </si>
  <si>
    <t>mart_revenue_waterfall.csv</t>
  </si>
  <si>
    <t>src_revenue_waterfall</t>
  </si>
  <si>
    <t>Connection only</t>
  </si>
  <si>
    <t>Recognition, billings, leakage</t>
  </si>
  <si>
    <t>O2C</t>
  </si>
  <si>
    <t>mart_o2c_customer_collections.csv</t>
  </si>
  <si>
    <t>src_o2c_customer_collections</t>
  </si>
  <si>
    <t>Cash collected, AR exposure</t>
  </si>
  <si>
    <t>mart_deferred_revenue_control.csv</t>
  </si>
  <si>
    <t>src_deferred_revenue_control</t>
  </si>
  <si>
    <t>Deferred revenue rollforward</t>
  </si>
  <si>
    <t>AP</t>
  </si>
  <si>
    <t>mart_ap_working_capital_control.csv</t>
  </si>
  <si>
    <t>src_ap_working_capital_control</t>
  </si>
  <si>
    <t>Supplier spend, payments, AP</t>
  </si>
  <si>
    <t>Workforce</t>
  </si>
  <si>
    <t>mart_workforce_cost_control.csv</t>
  </si>
  <si>
    <t>src_workforce_cost_control</t>
  </si>
  <si>
    <t>Payroll, FTE, hiring pressure</t>
  </si>
  <si>
    <t>SaaS ARR</t>
  </si>
  <si>
    <t>mart_saas_arr_movement.csv</t>
  </si>
  <si>
    <t>src_saas_arr_movement</t>
  </si>
  <si>
    <t>ARR bridge</t>
  </si>
  <si>
    <t>SaaS Retention</t>
  </si>
  <si>
    <t>mart_saas_retention.csv</t>
  </si>
  <si>
    <t>src_saas_retention</t>
  </si>
  <si>
    <t>GRR, NRR, churn</t>
  </si>
  <si>
    <t>reporting_month_date</t>
  </si>
  <si>
    <t>billings_gbp</t>
  </si>
  <si>
    <t>recognised_revenue_actual_gbp</t>
  </si>
  <si>
    <t>recognised_revenue_total_gbp</t>
  </si>
  <si>
    <t>opening_deferred_revenue_gbp</t>
  </si>
  <si>
    <t>new_billings_deferred_revenue_gbp</t>
  </si>
  <si>
    <t>recognised_revenue_release_gbp</t>
  </si>
  <si>
    <t>closing_deferred_revenue_gbp</t>
  </si>
  <si>
    <t>ap_invoice_spend_gbp</t>
  </si>
  <si>
    <t>supplier_cash_paid_gbp</t>
  </si>
  <si>
    <t>open_ap_liability_gbp</t>
  </si>
  <si>
    <t>overdue_ap_liability_gbp</t>
  </si>
  <si>
    <t>dpo_proxy_days</t>
  </si>
  <si>
    <t>payroll_cost_gbp</t>
  </si>
  <si>
    <t>base_salary_cost_gbp</t>
  </si>
  <si>
    <t>employer_tax_cost_gbp</t>
  </si>
  <si>
    <t>benefits_cost_gbp</t>
  </si>
  <si>
    <t>bonus_accrual_cost_gbp</t>
  </si>
  <si>
    <t>active_headcount_count</t>
  </si>
  <si>
    <t>active_fte_count</t>
  </si>
  <si>
    <t>model_payroll_cost_per_active_fte_gbp</t>
  </si>
  <si>
    <t>beginning_arr_gbp</t>
  </si>
  <si>
    <t>new_business_arr_gbp</t>
  </si>
  <si>
    <t>expansion_arr_gbp</t>
  </si>
  <si>
    <t>contraction_arr_gbp</t>
  </si>
  <si>
    <t>churn_arr_gbp</t>
  </si>
  <si>
    <t>net_arr_delta_gbp</t>
  </si>
  <si>
    <t>cash_collected_gbp</t>
  </si>
  <si>
    <t>net_unallocated_invoice_exposure_gbp</t>
  </si>
  <si>
    <t>open_ar_exposure_gbp</t>
  </si>
  <si>
    <t>beginning_active_customer_count</t>
  </si>
  <si>
    <t>ending_active_customer_count</t>
  </si>
  <si>
    <t>churned_customer_count</t>
  </si>
  <si>
    <t>new_customer_count</t>
  </si>
  <si>
    <t>gross_revenue_retention_rate</t>
  </si>
  <si>
    <t>net_revenue_retention_rate</t>
  </si>
  <si>
    <t>logo_churn_rate</t>
  </si>
  <si>
    <t>new_customer_rate</t>
  </si>
  <si>
    <t>actual_operating_expense_gbp</t>
  </si>
  <si>
    <t>actual_operating_profit_gbp</t>
  </si>
  <si>
    <t>actual_operating_margin</t>
  </si>
  <si>
    <t>revenue_per_active_fte_gbp</t>
  </si>
  <si>
    <t>arr_net_movement_pct</t>
  </si>
  <si>
    <t>period_type</t>
  </si>
  <si>
    <t>Actual</t>
  </si>
  <si>
    <t>Calendar Year</t>
  </si>
  <si>
    <t>Net ARR Movement</t>
  </si>
  <si>
    <t>GRR</t>
  </si>
  <si>
    <t>NRR</t>
  </si>
  <si>
    <t>Logo Churn</t>
  </si>
  <si>
    <t>AP Invoice Spend</t>
  </si>
  <si>
    <t>Operating Margin</t>
  </si>
  <si>
    <t>Active FTE</t>
  </si>
  <si>
    <t>Revenue per Active FTE</t>
  </si>
  <si>
    <t>Open AR Exposure</t>
  </si>
  <si>
    <t>Open AP Liability</t>
  </si>
  <si>
    <t>Closing Deferred Revenue</t>
  </si>
  <si>
    <t>Supplier Cash Paid</t>
  </si>
  <si>
    <t>Imported</t>
  </si>
  <si>
    <t>Operating Expense Proxy</t>
  </si>
  <si>
    <t>Operating Profit Check</t>
  </si>
  <si>
    <t>Headline ARR</t>
  </si>
  <si>
    <t>arr_monthly_run_rate_source_gbp</t>
  </si>
  <si>
    <t>headline_arr_gbp</t>
  </si>
  <si>
    <t>arr_monthly_run_rate_from_active_gbp</t>
  </si>
  <si>
    <t>arr_monthly_run_rate_variance_gbp</t>
  </si>
  <si>
    <t>arr_bridge_calc_active_arr_gbp</t>
  </si>
  <si>
    <t>arr_bridge_variance_gbp</t>
  </si>
  <si>
    <t>arr_bridge_status</t>
  </si>
  <si>
    <t>arr_monthly_run_rate_status</t>
  </si>
  <si>
    <t>Source Definition Difference</t>
  </si>
  <si>
    <t>Rounding / Definition Difference</t>
  </si>
  <si>
    <t>Feed Integrity</t>
  </si>
  <si>
    <t>Financial Logic Checks</t>
  </si>
  <si>
    <t>Control Exception Summary</t>
  </si>
  <si>
    <t>Expected</t>
  </si>
  <si>
    <t>Source Definition Checks</t>
  </si>
  <si>
    <t>Nexus Technologies — Model Audit Checks</t>
  </si>
  <si>
    <t>Duplicate Month Count</t>
  </si>
  <si>
    <t>First Actual Month</t>
  </si>
  <si>
    <t>Last Actual Month</t>
  </si>
  <si>
    <t>ARR monthly run-rate variance</t>
  </si>
  <si>
    <t>ARR monthly run-rate variance status</t>
  </si>
  <si>
    <t>ARR bridge variance</t>
  </si>
  <si>
    <t>ARR bridge variance status</t>
  </si>
  <si>
    <t>ARR bridge usable for forecast?</t>
  </si>
  <si>
    <t>Check</t>
  </si>
  <si>
    <t>AP control exceptions</t>
  </si>
  <si>
    <t>Workforce control exceptions</t>
  </si>
  <si>
    <t>SaaS ARR control exceptions</t>
  </si>
  <si>
    <t>SaaS retention exceptions</t>
  </si>
  <si>
    <t>Deferred revenue checks</t>
  </si>
  <si>
    <t>ARR modelling decision: Headline ARR uses active_arr_gbp, renamed headline_arr_gbp. ending_arr_gbp is treated as ARR monthly run-rate source and is not used as the headline ARR balance. ARR bridge components are not used to forecast ARR until bridge reconciliation is resolved.</t>
  </si>
  <si>
    <t>revenue_vs_o2c_billings_variance_gbp</t>
  </si>
  <si>
    <t>revenue_vs_o2c_billings_status</t>
  </si>
  <si>
    <t>deferred_revenue_model_variance_gbp</t>
  </si>
  <si>
    <t>deferred_revenue_model_status</t>
  </si>
  <si>
    <t>ap_control_status</t>
  </si>
  <si>
    <t>workforce_control_status</t>
  </si>
  <si>
    <t>saas_arr_control_status</t>
  </si>
  <si>
    <t>saas_retention_control_status</t>
  </si>
  <si>
    <t>Definition Difference</t>
  </si>
  <si>
    <t>OK</t>
  </si>
  <si>
    <t>Control Exception</t>
  </si>
  <si>
    <t>Minor Variance</t>
  </si>
  <si>
    <t>Monthly Span Check</t>
  </si>
  <si>
    <t>Month Span Status</t>
  </si>
  <si>
    <t>Operating profit check</t>
  </si>
  <si>
    <t>Operating expense proxy check</t>
  </si>
  <si>
    <t>Deferred revenue rollforward check</t>
  </si>
  <si>
    <t>Control Exception Present</t>
  </si>
  <si>
    <t>Revenue waterfall vs O2C billings</t>
  </si>
  <si>
    <t>Revenue waterfall vs O2C billings Status</t>
  </si>
  <si>
    <t>Workforce control exceptions Status</t>
  </si>
  <si>
    <t>SaaS ARR control exceptions Status</t>
  </si>
  <si>
    <t>SaaS retention exceptions Status</t>
  </si>
  <si>
    <t>AP control exceptions Status</t>
  </si>
  <si>
    <t>Model-readiness checks</t>
  </si>
  <si>
    <t>Unit scale factor check</t>
  </si>
  <si>
    <t>Unit scale factor check Status</t>
  </si>
  <si>
    <t>Scenario selection valid check</t>
  </si>
  <si>
    <t>Operating profit check Status</t>
  </si>
  <si>
    <t>Operating expense proxy check Status</t>
  </si>
  <si>
    <t>Driver</t>
  </si>
  <si>
    <t>Selected Scenario</t>
  </si>
  <si>
    <t>Recognised Revenue Growth %</t>
  </si>
  <si>
    <t>Billings Growth %</t>
  </si>
  <si>
    <t>Headline ARR Growth %</t>
  </si>
  <si>
    <t>Payroll Growth %</t>
  </si>
  <si>
    <t>AP Spend Growth %</t>
  </si>
  <si>
    <t>FTE Growth %</t>
  </si>
  <si>
    <t>Open AR % of Billings</t>
  </si>
  <si>
    <t>Open AP % of AP Spend</t>
  </si>
  <si>
    <t>Deferred Revenue % of Billings</t>
  </si>
  <si>
    <t>Nexus Technologies — Forecast Assumptions</t>
  </si>
  <si>
    <t>Revenue &amp; SaaS Growth</t>
  </si>
  <si>
    <t>Operating Cost Drivers</t>
  </si>
  <si>
    <t>Working Capital Drivers</t>
  </si>
  <si>
    <t>Cash Collection % of Billings</t>
  </si>
  <si>
    <t>Supplier Payment % of AP Spend</t>
  </si>
  <si>
    <t>Note</t>
  </si>
  <si>
    <t>Monthly growth applied to recognised revenue forecast.</t>
  </si>
  <si>
    <t>Monthly growth applied to billings forecast.</t>
  </si>
  <si>
    <t>Used to forecast headline ARR directly due to ARR bridge source-definition issue.</t>
  </si>
  <si>
    <t>Forecast gross revenue retention assumption.</t>
  </si>
  <si>
    <t>Forecast net revenue retention assumption.</t>
  </si>
  <si>
    <t>Forecast monthly customer churn assumption.</t>
  </si>
  <si>
    <t>Monthly payroll cost growth.</t>
  </si>
  <si>
    <t>Monthly vendor/AP spend growth.</t>
  </si>
  <si>
    <t>Monthly active FTE growth.</t>
  </si>
  <si>
    <t>Cash collected as percentage of monthly billings.</t>
  </si>
  <si>
    <t>Ending AR exposure as percentage of monthly billings.</t>
  </si>
  <si>
    <t>Ending AP liability as percentage of monthly AP spend.</t>
  </si>
  <si>
    <t>Closing deferred revenue estimated as percentage of monthly billings.</t>
  </si>
  <si>
    <t>Supplier cash paid as percentage of monthly AP spend.</t>
  </si>
  <si>
    <t>Category</t>
  </si>
  <si>
    <t>3-Statement Model  |  Scenario Forecast  |  DCF Valuation</t>
  </si>
  <si>
    <t>Nexus Technologies — Raw Data Exports</t>
  </si>
  <si>
    <t>Source connection inventory (Power Query — Connection Only)</t>
  </si>
  <si>
    <t>Forecast period populated check</t>
  </si>
  <si>
    <t>Forecast period populated check status</t>
  </si>
  <si>
    <t>Nexus Technologies — Forecast Income Statement</t>
  </si>
  <si>
    <t>Period</t>
  </si>
  <si>
    <t>Operating Expenses</t>
  </si>
  <si>
    <t>AP / Vendor Spend</t>
  </si>
  <si>
    <t>Profitability</t>
  </si>
  <si>
    <t>Efficiency Metrics</t>
  </si>
  <si>
    <t>Operating Expense Check</t>
  </si>
  <si>
    <t>ANNUAL SUMMARY</t>
  </si>
  <si>
    <t>Period Composition</t>
  </si>
  <si>
    <t>2026A/F</t>
  </si>
  <si>
    <t>Nexus Technologies — Forecast Balance Sheet Bridge</t>
  </si>
  <si>
    <t>Working Capital Assets</t>
  </si>
  <si>
    <t>Accounts Receivable / Open AR Exposure</t>
  </si>
  <si>
    <t>Working Capital Liabilities</t>
  </si>
  <si>
    <t>Accounts Payable / Open AP Liability</t>
  </si>
  <si>
    <t>Net Working Capital</t>
  </si>
  <si>
    <t>Cash Bridge</t>
  </si>
  <si>
    <t>Opening Cash / Net Cash</t>
  </si>
  <si>
    <t>Payroll Cash Paid</t>
  </si>
  <si>
    <t>Net Operating Cash Movement</t>
  </si>
  <si>
    <t>Closing Cash / Net Cash</t>
  </si>
  <si>
    <t>Checks</t>
  </si>
  <si>
    <t>Cash Rollforward Check</t>
  </si>
  <si>
    <t>Balance Sheet Drivers</t>
  </si>
  <si>
    <t>Opening Cash Balance</t>
  </si>
  <si>
    <t>Illustrative opening cash balance for Jan-23 cash bridge.</t>
  </si>
  <si>
    <t>Annual Balance Sheet Bridge Summary</t>
  </si>
  <si>
    <t>Cash Continuity Check</t>
  </si>
  <si>
    <t>Nexus Technologies — Forecast Cash Flow Statement</t>
  </si>
  <si>
    <t>Operating Cash Flow</t>
  </si>
  <si>
    <t>Cash Collected from Customers</t>
  </si>
  <si>
    <t>Net Operating Cash Flow Proxy</t>
  </si>
  <si>
    <t>Cash Movement Check</t>
  </si>
  <si>
    <t>Annual Summary</t>
  </si>
  <si>
    <t>This tab presents an operating cash flow proxy based on Atlas cash collection, supplier payment, and payroll cost data. It is not a full statutory cash flow statement until tax, capex, debt, interest, equity, and other financing/investing schedules are added.</t>
  </si>
  <si>
    <t>DCF Drivers</t>
  </si>
  <si>
    <t>Tax Rate</t>
  </si>
  <si>
    <t>Simplified UK corporate tax proxy.</t>
  </si>
  <si>
    <t>Reinvestment % of Revenue</t>
  </si>
  <si>
    <t>Proxy for capex plus working capital investment until full schedules are added.</t>
  </si>
  <si>
    <t>WACC</t>
  </si>
  <si>
    <t>Illustrative discount rate for SaaS valuation.</t>
  </si>
  <si>
    <t>Terminal Growth Rate</t>
  </si>
  <si>
    <t>Long-term perpetual growth assumption.</t>
  </si>
  <si>
    <t>Mid-Year Convention</t>
  </si>
  <si>
    <t>Uses mid-year discounting for projected cash flows.</t>
  </si>
  <si>
    <t>Nexus Technologies — Discounted Cash Flow</t>
  </si>
  <si>
    <t>Unlevered Free Cash Flow</t>
  </si>
  <si>
    <t>Tax on Operating Profit</t>
  </si>
  <si>
    <t>NOPAT</t>
  </si>
  <si>
    <t>Reinvestment</t>
  </si>
  <si>
    <t>Unlevered FCF Proxy</t>
  </si>
  <si>
    <t>Valuation</t>
  </si>
  <si>
    <t>Discount Period</t>
  </si>
  <si>
    <t>Discount Factor</t>
  </si>
  <si>
    <t>PV of FCF</t>
  </si>
  <si>
    <t>Terminal Value</t>
  </si>
  <si>
    <t>PV of Terminal Value</t>
  </si>
  <si>
    <t>Enterprise Value</t>
  </si>
  <si>
    <t>Terminal Growth &lt; WACC Check</t>
  </si>
  <si>
    <t>FCF Sign Check</t>
  </si>
  <si>
    <t>WACC greater than terminal growth check</t>
  </si>
  <si>
    <t>Main EV ties to sensitivity midpoint</t>
  </si>
  <si>
    <t>Enterprise Value Sensitivity</t>
  </si>
  <si>
    <t>Terminal Growth \ 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</si>
</sst>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_-* #,##0_-;\(#,##0\)_-;_-* &quot;-&quot;_-;_-@"/>
    <numFmt numFmtId="166" formatCode="0.0%"/>
    <numFmt numFmtId="167" formatCode="\£#,##0;\(\£#,##0\);&quot;-&quot;"/>
    <numFmt numFmtId="168" formatCode="0.0%;\(0.0%\);&quot;-&quot;"/>
    <numFmt numFmtId="169" formatCode="mmm\-yyyy"/>
    <numFmt numFmtId="170" formatCode="dd\ mmm\ yyyy"/>
    <numFmt numFmtId="171" formatCode="0.0"/>
    <numFmt numFmtId="172" formatCode="\£#,##0"/>
    <numFmt numFmtId="173" formatCode="#,##0.0;\(#,##0.0\);&quot;-&quot;"/>
  </numFmts>
  <fonts count="5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Display"/>
      <family val="2"/>
      <scheme val="major"/>
    </font>
    <font>
      <b/>
      <sz val="16"/>
      <color rgb="FFFFFFFF"/>
      <name val="Calibri"/>
      <family val="2"/>
    </font>
    <font>
      <i/>
      <sz val="10"/>
      <color rgb="FFFFFFFF"/>
      <name val="Calibri"/>
      <family val="2"/>
    </font>
    <font>
      <sz val="12"/>
      <color theme="0"/>
      <name val="Calibri"/>
      <family val="2"/>
    </font>
    <font>
      <sz val="12"/>
      <name val="Calibri"/>
      <family val="2"/>
    </font>
    <font>
      <b/>
      <sz val="9"/>
      <color rgb="FFFFFFFF"/>
      <name val="Calibri"/>
      <family val="2"/>
    </font>
    <font>
      <i/>
      <sz val="9"/>
      <color rgb="FF404040"/>
      <name val="Calibri"/>
      <family val="2"/>
    </font>
    <font>
      <b/>
      <sz val="10"/>
      <color rgb="FF1F3864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b/>
      <sz val="10"/>
      <color rgb="FF000000"/>
      <name val="Calibri"/>
      <family val="2"/>
    </font>
    <font>
      <b/>
      <sz val="11"/>
      <color rgb="FF1F3864"/>
      <name val="Calibri"/>
      <family val="2"/>
    </font>
    <font>
      <i/>
      <sz val="14"/>
      <color rgb="FF808080"/>
      <name val="Calibri"/>
      <family val="2"/>
    </font>
    <font>
      <sz val="13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i/>
      <sz val="9"/>
      <color rgb="FF808080"/>
      <name val="Calibri"/>
      <family val="2"/>
    </font>
    <font>
      <sz val="10"/>
      <color theme="1"/>
      <name val="Calibri"/>
      <family val="2"/>
    </font>
    <font>
      <sz val="10"/>
      <color rgb="FF006100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2"/>
      <color rgb="FFFFFFFF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i/>
      <sz val="9"/>
      <color rgb="FF595959"/>
      <name val="Calibri"/>
      <family val="2"/>
    </font>
    <font>
      <i/>
      <sz val="10"/>
      <color rgb="FF7F6000"/>
      <name val="Calibri"/>
      <family val="2"/>
    </font>
    <font>
      <b/>
      <sz val="10"/>
      <color rgb="FF008000"/>
      <name val="Calibri"/>
      <family val="2"/>
    </font>
    <font>
      <b/>
      <sz val="11"/>
      <color theme="1"/>
      <name val="Calibri"/>
      <family val="2"/>
    </font>
    <font>
      <b/>
      <u val="doubleAccounting"/>
      <sz val="10"/>
      <color rgb="FF008000"/>
      <name val="Calibri"/>
      <family val="2"/>
    </font>
    <font>
      <b/>
      <sz val="20"/>
      <color theme="0"/>
      <name val="Calibri"/>
      <family val="2"/>
    </font>
    <font>
      <b/>
      <sz val="24"/>
      <color rgb="FF4472C4"/>
      <name val="Calibri"/>
      <family val="2"/>
    </font>
    <font>
      <b/>
      <sz val="20"/>
      <color rgb="FF4472C4"/>
      <name val="Calibri"/>
      <family val="2"/>
    </font>
    <font>
      <b/>
      <sz val="11"/>
      <color theme="1" tint="0.249977111117893"/>
      <name val="Calibri"/>
      <family val="2"/>
    </font>
    <font>
      <sz val="9"/>
      <color theme="1" tint="0.249977111117893"/>
      <name val="Calibri"/>
      <family val="2"/>
    </font>
    <font>
      <sz val="11"/>
      <color theme="1" tint="0.249977111117893"/>
      <name val="Calibri"/>
      <family val="2"/>
    </font>
    <font>
      <sz val="9"/>
      <color theme="1"/>
      <name val="Calibri"/>
      <family val="2"/>
    </font>
    <font>
      <sz val="11"/>
      <color rgb="FF3271D2"/>
      <name val="Calibri"/>
      <family val="2"/>
    </font>
    <font>
      <sz val="11"/>
      <color rgb="FF000000"/>
      <name val="Calibri"/>
      <family val="2"/>
    </font>
    <font>
      <b/>
      <sz val="18"/>
      <color theme="0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Calibri"/>
      <family val="2"/>
    </font>
    <font>
      <b/>
      <u val="doubleAccounting"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E40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2FF"/>
        <bgColor rgb="FFED942D"/>
      </patternFill>
    </fill>
    <fill>
      <patternFill patternType="solid">
        <fgColor rgb="FFE7F2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3FBE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CF3E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C325A"/>
        <bgColor indexed="64"/>
      </patternFill>
    </fill>
    <fill>
      <patternFill patternType="solid">
        <fgColor rgb="FF1C325A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medium">
        <color rgb="FF000C3F"/>
      </left>
      <right/>
      <top/>
      <bottom/>
      <diagonal/>
    </border>
    <border>
      <left style="thick">
        <color rgb="FF132E57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rgb="FF1F3864"/>
      </right>
      <top/>
      <bottom/>
      <diagonal/>
    </border>
    <border>
      <left/>
      <right style="medium">
        <color rgb="FF1F3864"/>
      </right>
      <top/>
      <bottom style="thin">
        <color theme="1"/>
      </bottom>
      <diagonal/>
    </border>
    <border>
      <left/>
      <right style="medium">
        <color rgb="FF1F3864"/>
      </right>
      <top/>
      <bottom style="medium">
        <color theme="1"/>
      </bottom>
      <diagonal/>
    </border>
    <border>
      <left/>
      <right/>
      <top/>
      <bottom style="thin">
        <color rgb="FF1F3864"/>
      </bottom>
      <diagonal/>
    </border>
    <border>
      <left/>
      <right style="medium">
        <color rgb="FF1F3864"/>
      </right>
      <top/>
      <bottom style="thin">
        <color rgb="FF1F3864"/>
      </bottom>
      <diagonal/>
    </border>
    <border>
      <left/>
      <right/>
      <top style="thin">
        <color rgb="FF404040"/>
      </top>
      <bottom/>
      <diagonal/>
    </border>
    <border>
      <left/>
      <right style="medium">
        <color rgb="FF1F3864"/>
      </right>
      <top style="thin">
        <color rgb="FF404040"/>
      </top>
      <bottom/>
      <diagonal/>
    </border>
    <border>
      <left/>
      <right/>
      <top/>
      <bottom style="thin">
        <color rgb="FF404040"/>
      </bottom>
      <diagonal/>
    </border>
    <border>
      <left/>
      <right style="medium">
        <color rgb="FF1F3864"/>
      </right>
      <top/>
      <bottom style="thin">
        <color rgb="FF404040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/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 style="thick">
        <color rgb="FF0E4056"/>
      </left>
      <right/>
      <top style="thick">
        <color rgb="FF0E4056"/>
      </top>
      <bottom/>
      <diagonal/>
    </border>
    <border>
      <left/>
      <right/>
      <top style="thick">
        <color rgb="FF0E4056"/>
      </top>
      <bottom/>
      <diagonal/>
    </border>
    <border>
      <left/>
      <right style="thick">
        <color rgb="FF0E4056"/>
      </right>
      <top style="thick">
        <color rgb="FF0E4056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 style="medium">
        <color rgb="FFBF9000"/>
      </left>
      <right/>
      <top/>
      <bottom/>
      <diagonal/>
    </border>
    <border>
      <left style="thin">
        <color rgb="FF1F3864"/>
      </left>
      <right/>
      <top style="thick">
        <color rgb="FF1F3864"/>
      </top>
      <bottom/>
      <diagonal/>
    </border>
    <border>
      <left/>
      <right/>
      <top style="thick">
        <color rgb="FF1F3864"/>
      </top>
      <bottom/>
      <diagonal/>
    </border>
    <border>
      <left/>
      <right style="thin">
        <color rgb="FF1F3864"/>
      </right>
      <top style="thick">
        <color rgb="FF1F3864"/>
      </top>
      <bottom/>
      <diagonal/>
    </border>
    <border>
      <left style="thin">
        <color rgb="FF1F3864"/>
      </left>
      <right/>
      <top/>
      <bottom/>
      <diagonal/>
    </border>
    <border>
      <left/>
      <right style="thin">
        <color rgb="FF1F3864"/>
      </right>
      <top/>
      <bottom/>
      <diagonal/>
    </border>
    <border>
      <left/>
      <right style="thin">
        <color rgb="FF1F3864"/>
      </right>
      <top/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</cellStyleXfs>
  <cellXfs count="22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7" borderId="0" xfId="0" applyFill="1"/>
    <xf numFmtId="0" fontId="0" fillId="0" borderId="8" xfId="0" applyBorder="1"/>
    <xf numFmtId="0" fontId="0" fillId="0" borderId="9" xfId="0" applyBorder="1"/>
    <xf numFmtId="0" fontId="7" fillId="8" borderId="0" xfId="0" applyFont="1" applyFill="1"/>
    <xf numFmtId="0" fontId="9" fillId="2" borderId="0" xfId="0" applyFont="1" applyFill="1"/>
    <xf numFmtId="0" fontId="0" fillId="0" borderId="11" xfId="0" applyBorder="1"/>
    <xf numFmtId="0" fontId="0" fillId="0" borderId="0" xfId="0" applyAlignment="1">
      <alignment horizontal="right" vertical="center"/>
    </xf>
    <xf numFmtId="0" fontId="0" fillId="9" borderId="0" xfId="0" applyFill="1"/>
    <xf numFmtId="0" fontId="8" fillId="0" borderId="0" xfId="0" applyFont="1"/>
    <xf numFmtId="0" fontId="12" fillId="0" borderId="8" xfId="0" applyFont="1" applyBorder="1" applyAlignment="1">
      <alignment horizontal="left" vertical="center" indent="12"/>
    </xf>
    <xf numFmtId="0" fontId="13" fillId="0" borderId="8" xfId="0" applyFont="1" applyBorder="1" applyAlignment="1">
      <alignment horizontal="left" vertical="center" indent="12"/>
    </xf>
    <xf numFmtId="0" fontId="12" fillId="0" borderId="14" xfId="0" applyFont="1" applyBorder="1" applyAlignment="1">
      <alignment horizontal="left" vertical="center" indent="12"/>
    </xf>
    <xf numFmtId="0" fontId="15" fillId="10" borderId="0" xfId="0" applyFont="1" applyFill="1" applyAlignment="1">
      <alignment vertical="center"/>
    </xf>
    <xf numFmtId="0" fontId="15" fillId="10" borderId="0" xfId="0" applyFont="1" applyFill="1" applyAlignment="1">
      <alignment horizontal="center"/>
    </xf>
    <xf numFmtId="0" fontId="15" fillId="10" borderId="13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0" borderId="9" xfId="0" applyFont="1" applyFill="1" applyBorder="1" applyAlignment="1">
      <alignment vertical="center"/>
    </xf>
    <xf numFmtId="0" fontId="15" fillId="10" borderId="9" xfId="0" applyFont="1" applyFill="1" applyBorder="1" applyAlignment="1">
      <alignment horizontal="center"/>
    </xf>
    <xf numFmtId="0" fontId="15" fillId="10" borderId="15" xfId="0" applyFont="1" applyFill="1" applyBorder="1" applyAlignment="1">
      <alignment horizontal="center"/>
    </xf>
    <xf numFmtId="165" fontId="16" fillId="12" borderId="16" xfId="0" applyNumberFormat="1" applyFont="1" applyFill="1" applyBorder="1"/>
    <xf numFmtId="0" fontId="16" fillId="12" borderId="16" xfId="0" applyFont="1" applyFill="1" applyBorder="1"/>
    <xf numFmtId="0" fontId="16" fillId="12" borderId="17" xfId="0" applyFont="1" applyFill="1" applyBorder="1"/>
    <xf numFmtId="0" fontId="17" fillId="0" borderId="0" xfId="0" applyFont="1" applyAlignment="1">
      <alignment horizontal="left" indent="1"/>
    </xf>
    <xf numFmtId="167" fontId="18" fillId="0" borderId="0" xfId="0" applyNumberFormat="1" applyFont="1"/>
    <xf numFmtId="167" fontId="18" fillId="0" borderId="13" xfId="0" applyNumberFormat="1" applyFont="1" applyBorder="1"/>
    <xf numFmtId="167" fontId="18" fillId="10" borderId="0" xfId="0" applyNumberFormat="1" applyFont="1" applyFill="1"/>
    <xf numFmtId="167" fontId="18" fillId="10" borderId="13" xfId="0" applyNumberFormat="1" applyFont="1" applyFill="1" applyBorder="1"/>
    <xf numFmtId="168" fontId="18" fillId="0" borderId="0" xfId="0" applyNumberFormat="1" applyFont="1"/>
    <xf numFmtId="168" fontId="18" fillId="0" borderId="13" xfId="0" applyNumberFormat="1" applyFont="1" applyBorder="1"/>
    <xf numFmtId="168" fontId="18" fillId="10" borderId="0" xfId="0" applyNumberFormat="1" applyFont="1" applyFill="1"/>
    <xf numFmtId="168" fontId="18" fillId="10" borderId="13" xfId="0" applyNumberFormat="1" applyFont="1" applyFill="1" applyBorder="1"/>
    <xf numFmtId="167" fontId="17" fillId="0" borderId="0" xfId="0" applyNumberFormat="1" applyFont="1"/>
    <xf numFmtId="167" fontId="17" fillId="0" borderId="13" xfId="0" applyNumberFormat="1" applyFont="1" applyBorder="1"/>
    <xf numFmtId="167" fontId="17" fillId="10" borderId="0" xfId="0" applyNumberFormat="1" applyFont="1" applyFill="1"/>
    <xf numFmtId="167" fontId="17" fillId="10" borderId="13" xfId="0" applyNumberFormat="1" applyFont="1" applyFill="1" applyBorder="1"/>
    <xf numFmtId="0" fontId="19" fillId="0" borderId="18" xfId="0" applyFont="1" applyBorder="1" applyAlignment="1">
      <alignment horizontal="left" indent="1"/>
    </xf>
    <xf numFmtId="167" fontId="19" fillId="0" borderId="18" xfId="0" applyNumberFormat="1" applyFont="1" applyBorder="1"/>
    <xf numFmtId="167" fontId="19" fillId="0" borderId="19" xfId="0" applyNumberFormat="1" applyFont="1" applyBorder="1"/>
    <xf numFmtId="0" fontId="19" fillId="0" borderId="20" xfId="0" applyFont="1" applyBorder="1" applyAlignment="1">
      <alignment horizontal="left" indent="1"/>
    </xf>
    <xf numFmtId="168" fontId="19" fillId="0" borderId="20" xfId="0" applyNumberFormat="1" applyFont="1" applyBorder="1"/>
    <xf numFmtId="168" fontId="19" fillId="0" borderId="21" xfId="0" applyNumberFormat="1" applyFont="1" applyBorder="1"/>
    <xf numFmtId="0" fontId="14" fillId="13" borderId="0" xfId="0" applyFont="1" applyFill="1" applyAlignment="1">
      <alignment horizontal="center" vertical="center"/>
    </xf>
    <xf numFmtId="17" fontId="14" fillId="13" borderId="0" xfId="0" applyNumberFormat="1" applyFont="1" applyFill="1" applyAlignment="1">
      <alignment horizontal="center"/>
    </xf>
    <xf numFmtId="17" fontId="14" fillId="13" borderId="13" xfId="0" applyNumberFormat="1" applyFont="1" applyFill="1" applyBorder="1" applyAlignment="1">
      <alignment horizontal="center"/>
    </xf>
    <xf numFmtId="0" fontId="0" fillId="13" borderId="0" xfId="0" applyFill="1"/>
    <xf numFmtId="0" fontId="24" fillId="4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28" fillId="17" borderId="0" xfId="0" applyFont="1" applyFill="1" applyAlignment="1">
      <alignment horizontal="center" vertical="center"/>
    </xf>
    <xf numFmtId="0" fontId="27" fillId="10" borderId="0" xfId="0" applyFont="1" applyFill="1" applyAlignment="1">
      <alignment vertical="center"/>
    </xf>
    <xf numFmtId="17" fontId="30" fillId="0" borderId="12" xfId="0" applyNumberFormat="1" applyFont="1" applyBorder="1"/>
    <xf numFmtId="167" fontId="30" fillId="0" borderId="12" xfId="0" applyNumberFormat="1" applyFont="1" applyBorder="1"/>
    <xf numFmtId="0" fontId="30" fillId="0" borderId="12" xfId="0" applyFont="1" applyBorder="1"/>
    <xf numFmtId="171" fontId="30" fillId="0" borderId="12" xfId="0" applyNumberFormat="1" applyFont="1" applyBorder="1"/>
    <xf numFmtId="3" fontId="30" fillId="0" borderId="12" xfId="0" applyNumberFormat="1" applyFont="1" applyBorder="1"/>
    <xf numFmtId="166" fontId="30" fillId="0" borderId="12" xfId="0" applyNumberFormat="1" applyFont="1" applyBorder="1"/>
    <xf numFmtId="17" fontId="30" fillId="0" borderId="31" xfId="0" applyNumberFormat="1" applyFont="1" applyBorder="1"/>
    <xf numFmtId="167" fontId="30" fillId="0" borderId="31" xfId="0" applyNumberFormat="1" applyFont="1" applyBorder="1"/>
    <xf numFmtId="0" fontId="30" fillId="0" borderId="31" xfId="0" applyFont="1" applyBorder="1"/>
    <xf numFmtId="171" fontId="30" fillId="0" borderId="31" xfId="0" applyNumberFormat="1" applyFont="1" applyBorder="1"/>
    <xf numFmtId="3" fontId="30" fillId="0" borderId="31" xfId="0" applyNumberFormat="1" applyFont="1" applyBorder="1"/>
    <xf numFmtId="166" fontId="30" fillId="0" borderId="31" xfId="0" applyNumberFormat="1" applyFont="1" applyBorder="1"/>
    <xf numFmtId="0" fontId="5" fillId="3" borderId="0" xfId="0" applyFont="1" applyFill="1"/>
    <xf numFmtId="0" fontId="29" fillId="18" borderId="0" xfId="0" applyFont="1" applyFill="1" applyAlignment="1">
      <alignment wrapText="1"/>
    </xf>
    <xf numFmtId="0" fontId="23" fillId="16" borderId="11" xfId="0" applyFont="1" applyFill="1" applyBorder="1" applyAlignment="1">
      <alignment horizontal="center" vertical="center" wrapText="1"/>
    </xf>
    <xf numFmtId="0" fontId="16" fillId="1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 indent="1"/>
    </xf>
    <xf numFmtId="166" fontId="32" fillId="7" borderId="0" xfId="0" applyNumberFormat="1" applyFont="1" applyFill="1" applyAlignment="1">
      <alignment horizontal="center" vertical="center"/>
    </xf>
    <xf numFmtId="166" fontId="33" fillId="15" borderId="0" xfId="0" applyNumberFormat="1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0" fontId="16" fillId="19" borderId="0" xfId="0" applyFont="1" applyFill="1" applyAlignment="1">
      <alignment horizontal="left" vertical="center"/>
    </xf>
    <xf numFmtId="0" fontId="10" fillId="16" borderId="0" xfId="0" applyFont="1" applyFill="1"/>
    <xf numFmtId="165" fontId="20" fillId="12" borderId="8" xfId="0" applyNumberFormat="1" applyFont="1" applyFill="1" applyBorder="1"/>
    <xf numFmtId="0" fontId="20" fillId="12" borderId="8" xfId="0" applyFont="1" applyFill="1" applyBorder="1"/>
    <xf numFmtId="0" fontId="27" fillId="0" borderId="0" xfId="0" applyFont="1" applyAlignment="1">
      <alignment horizontal="left" vertical="center" wrapText="1" indent="1"/>
    </xf>
    <xf numFmtId="3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indent="1"/>
    </xf>
    <xf numFmtId="17" fontId="27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 wrapText="1"/>
    </xf>
    <xf numFmtId="165" fontId="16" fillId="12" borderId="8" xfId="0" applyNumberFormat="1" applyFont="1" applyFill="1" applyBorder="1"/>
    <xf numFmtId="0" fontId="16" fillId="12" borderId="8" xfId="0" applyFont="1" applyFill="1" applyBorder="1" applyAlignment="1">
      <alignment horizontal="center"/>
    </xf>
    <xf numFmtId="4" fontId="27" fillId="0" borderId="0" xfId="0" applyNumberFormat="1" applyFont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left" vertical="center" indent="1"/>
    </xf>
    <xf numFmtId="172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2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5" fillId="0" borderId="0" xfId="0" applyFont="1"/>
    <xf numFmtId="168" fontId="17" fillId="10" borderId="0" xfId="0" applyNumberFormat="1" applyFont="1" applyFill="1"/>
    <xf numFmtId="0" fontId="20" fillId="12" borderId="33" xfId="0" applyFont="1" applyFill="1" applyBorder="1"/>
    <xf numFmtId="0" fontId="20" fillId="12" borderId="34" xfId="0" applyFont="1" applyFill="1" applyBorder="1"/>
    <xf numFmtId="0" fontId="20" fillId="12" borderId="35" xfId="0" applyFont="1" applyFill="1" applyBorder="1"/>
    <xf numFmtId="0" fontId="25" fillId="16" borderId="36" xfId="0" applyFont="1" applyFill="1" applyBorder="1"/>
    <xf numFmtId="1" fontId="23" fillId="16" borderId="0" xfId="0" applyNumberFormat="1" applyFont="1" applyFill="1" applyAlignment="1">
      <alignment horizontal="center"/>
    </xf>
    <xf numFmtId="1" fontId="23" fillId="16" borderId="37" xfId="0" applyNumberFormat="1" applyFont="1" applyFill="1" applyBorder="1" applyAlignment="1">
      <alignment horizontal="center"/>
    </xf>
    <xf numFmtId="0" fontId="15" fillId="21" borderId="36" xfId="0" applyFont="1" applyFill="1" applyBorder="1"/>
    <xf numFmtId="0" fontId="15" fillId="21" borderId="0" xfId="0" applyFont="1" applyFill="1" applyAlignment="1">
      <alignment horizontal="center"/>
    </xf>
    <xf numFmtId="0" fontId="15" fillId="21" borderId="37" xfId="0" applyFont="1" applyFill="1" applyBorder="1" applyAlignment="1">
      <alignment horizontal="center"/>
    </xf>
    <xf numFmtId="173" fontId="18" fillId="10" borderId="0" xfId="0" applyNumberFormat="1" applyFont="1" applyFill="1"/>
    <xf numFmtId="0" fontId="0" fillId="0" borderId="0" xfId="0" applyAlignment="1">
      <alignment horizontal="right" vertical="center" wrapText="1"/>
    </xf>
    <xf numFmtId="0" fontId="19" fillId="0" borderId="0" xfId="0" applyFont="1" applyAlignment="1">
      <alignment horizontal="left" indent="1"/>
    </xf>
    <xf numFmtId="0" fontId="35" fillId="20" borderId="32" xfId="0" applyFont="1" applyFill="1" applyBorder="1" applyAlignment="1">
      <alignment horizontal="left"/>
    </xf>
    <xf numFmtId="0" fontId="35" fillId="20" borderId="0" xfId="0" applyFont="1" applyFill="1" applyAlignment="1">
      <alignment horizontal="left"/>
    </xf>
    <xf numFmtId="167" fontId="18" fillId="0" borderId="37" xfId="0" applyNumberFormat="1" applyFont="1" applyBorder="1"/>
    <xf numFmtId="167" fontId="18" fillId="10" borderId="37" xfId="0" applyNumberFormat="1" applyFont="1" applyFill="1" applyBorder="1"/>
    <xf numFmtId="167" fontId="36" fillId="0" borderId="0" xfId="0" applyNumberFormat="1" applyFont="1"/>
    <xf numFmtId="167" fontId="36" fillId="0" borderId="37" xfId="0" applyNumberFormat="1" applyFont="1" applyBorder="1"/>
    <xf numFmtId="165" fontId="16" fillId="12" borderId="38" xfId="0" applyNumberFormat="1" applyFont="1" applyFill="1" applyBorder="1"/>
    <xf numFmtId="0" fontId="10" fillId="0" borderId="0" xfId="0" applyFont="1"/>
    <xf numFmtId="0" fontId="10" fillId="0" borderId="13" xfId="0" applyFont="1" applyBorder="1"/>
    <xf numFmtId="167" fontId="18" fillId="0" borderId="39" xfId="0" applyNumberFormat="1" applyFont="1" applyBorder="1"/>
    <xf numFmtId="0" fontId="10" fillId="13" borderId="0" xfId="0" applyFont="1" applyFill="1" applyAlignment="1">
      <alignment horizontal="left" indent="12"/>
    </xf>
    <xf numFmtId="0" fontId="10" fillId="13" borderId="13" xfId="0" applyFont="1" applyFill="1" applyBorder="1" applyAlignment="1">
      <alignment horizontal="left" indent="12"/>
    </xf>
    <xf numFmtId="0" fontId="11" fillId="13" borderId="0" xfId="0" applyFont="1" applyFill="1" applyAlignment="1">
      <alignment horizontal="left" vertical="center" indent="12"/>
    </xf>
    <xf numFmtId="0" fontId="11" fillId="13" borderId="13" xfId="0" applyFont="1" applyFill="1" applyBorder="1" applyAlignment="1">
      <alignment horizontal="left" vertical="center" indent="12"/>
    </xf>
    <xf numFmtId="0" fontId="35" fillId="20" borderId="32" xfId="0" applyFont="1" applyFill="1" applyBorder="1" applyAlignment="1">
      <alignment horizontal="left"/>
    </xf>
    <xf numFmtId="0" fontId="35" fillId="20" borderId="0" xfId="0" applyFont="1" applyFill="1" applyAlignment="1">
      <alignment horizontal="left"/>
    </xf>
    <xf numFmtId="0" fontId="21" fillId="15" borderId="29" xfId="0" applyFont="1" applyFill="1" applyBorder="1" applyAlignment="1">
      <alignment horizontal="center"/>
    </xf>
    <xf numFmtId="0" fontId="21" fillId="15" borderId="0" xfId="0" applyFont="1" applyFill="1" applyAlignment="1">
      <alignment horizontal="center"/>
    </xf>
    <xf numFmtId="0" fontId="21" fillId="15" borderId="30" xfId="0" applyFont="1" applyFill="1" applyBorder="1" applyAlignment="1">
      <alignment horizontal="center"/>
    </xf>
    <xf numFmtId="0" fontId="26" fillId="0" borderId="0" xfId="0" applyFont="1"/>
    <xf numFmtId="0" fontId="11" fillId="0" borderId="0" xfId="0" applyFont="1" applyAlignment="1">
      <alignment horizontal="left" vertical="center" indent="12"/>
    </xf>
    <xf numFmtId="0" fontId="11" fillId="0" borderId="13" xfId="0" applyFont="1" applyBorder="1" applyAlignment="1">
      <alignment horizontal="left" vertical="center" indent="12"/>
    </xf>
    <xf numFmtId="167" fontId="18" fillId="10" borderId="40" xfId="0" applyNumberFormat="1" applyFont="1" applyFill="1" applyBorder="1"/>
    <xf numFmtId="10" fontId="16" fillId="12" borderId="0" xfId="0" applyNumberFormat="1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 indent="12"/>
    </xf>
    <xf numFmtId="0" fontId="11" fillId="0" borderId="0" xfId="0" applyFont="1" applyFill="1" applyBorder="1" applyAlignment="1">
      <alignment horizontal="left" vertical="center" indent="12"/>
    </xf>
    <xf numFmtId="0" fontId="0" fillId="0" borderId="0" xfId="0" applyFill="1"/>
    <xf numFmtId="167" fontId="38" fillId="0" borderId="0" xfId="0" applyNumberFormat="1" applyFont="1"/>
    <xf numFmtId="168" fontId="30" fillId="0" borderId="0" xfId="0" applyNumberFormat="1" applyFont="1" applyFill="1"/>
    <xf numFmtId="0" fontId="25" fillId="6" borderId="0" xfId="0" applyFont="1" applyFill="1"/>
    <xf numFmtId="0" fontId="24" fillId="13" borderId="26" xfId="0" applyFont="1" applyFill="1" applyBorder="1"/>
    <xf numFmtId="0" fontId="24" fillId="13" borderId="27" xfId="0" applyFont="1" applyFill="1" applyBorder="1"/>
    <xf numFmtId="0" fontId="25" fillId="14" borderId="27" xfId="1" applyFont="1" applyFill="1" applyBorder="1"/>
    <xf numFmtId="0" fontId="25" fillId="14" borderId="28" xfId="1" applyFont="1" applyFill="1" applyBorder="1"/>
    <xf numFmtId="0" fontId="24" fillId="13" borderId="6" xfId="0" applyFont="1" applyFill="1" applyBorder="1"/>
    <xf numFmtId="0" fontId="24" fillId="13" borderId="0" xfId="0" applyFont="1" applyFill="1"/>
    <xf numFmtId="0" fontId="25" fillId="14" borderId="0" xfId="1" applyFont="1" applyFill="1"/>
    <xf numFmtId="0" fontId="25" fillId="14" borderId="24" xfId="1" applyFont="1" applyFill="1" applyBorder="1"/>
    <xf numFmtId="0" fontId="39" fillId="13" borderId="0" xfId="0" applyFont="1" applyFill="1"/>
    <xf numFmtId="0" fontId="25" fillId="0" borderId="7" xfId="1" applyFont="1" applyBorder="1"/>
    <xf numFmtId="0" fontId="25" fillId="0" borderId="0" xfId="1" applyFont="1"/>
    <xf numFmtId="0" fontId="25" fillId="0" borderId="24" xfId="1" applyFont="1" applyBorder="1"/>
    <xf numFmtId="0" fontId="25" fillId="0" borderId="0" xfId="1" applyFont="1" applyProtection="1">
      <protection locked="0"/>
    </xf>
    <xf numFmtId="0" fontId="37" fillId="0" borderId="0" xfId="1" applyFont="1"/>
    <xf numFmtId="0" fontId="25" fillId="0" borderId="29" xfId="1" applyFont="1" applyBorder="1"/>
    <xf numFmtId="0" fontId="25" fillId="0" borderId="30" xfId="1" applyFont="1" applyBorder="1"/>
    <xf numFmtId="0" fontId="40" fillId="0" borderId="29" xfId="1" applyFont="1" applyBorder="1" applyAlignment="1" applyProtection="1">
      <alignment horizontal="center"/>
      <protection locked="0"/>
    </xf>
    <xf numFmtId="0" fontId="40" fillId="0" borderId="0" xfId="1" applyFont="1" applyAlignment="1" applyProtection="1">
      <alignment horizontal="center"/>
      <protection locked="0"/>
    </xf>
    <xf numFmtId="0" fontId="40" fillId="0" borderId="30" xfId="1" applyFont="1" applyBorder="1" applyAlignment="1" applyProtection="1">
      <alignment horizontal="center"/>
      <protection locked="0"/>
    </xf>
    <xf numFmtId="0" fontId="25" fillId="0" borderId="29" xfId="1" applyFont="1" applyBorder="1" applyProtection="1">
      <protection locked="0"/>
    </xf>
    <xf numFmtId="0" fontId="25" fillId="7" borderId="0" xfId="0" applyFont="1" applyFill="1"/>
    <xf numFmtId="0" fontId="41" fillId="0" borderId="0" xfId="1" applyFont="1" applyProtection="1">
      <protection locked="0"/>
    </xf>
    <xf numFmtId="0" fontId="42" fillId="5" borderId="0" xfId="1" applyFont="1" applyFill="1"/>
    <xf numFmtId="0" fontId="43" fillId="5" borderId="0" xfId="1" applyFont="1" applyFill="1"/>
    <xf numFmtId="0" fontId="45" fillId="0" borderId="7" xfId="1" applyFont="1" applyBorder="1"/>
    <xf numFmtId="0" fontId="45" fillId="0" borderId="24" xfId="1" applyFont="1" applyBorder="1"/>
    <xf numFmtId="0" fontId="43" fillId="3" borderId="0" xfId="1" applyFont="1" applyFill="1"/>
    <xf numFmtId="0" fontId="45" fillId="0" borderId="22" xfId="1" applyFont="1" applyBorder="1"/>
    <xf numFmtId="0" fontId="45" fillId="0" borderId="23" xfId="1" applyFont="1" applyBorder="1"/>
    <xf numFmtId="0" fontId="45" fillId="0" borderId="25" xfId="1" applyFont="1" applyBorder="1"/>
    <xf numFmtId="0" fontId="37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169" fontId="46" fillId="7" borderId="3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10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49" fontId="25" fillId="0" borderId="10" xfId="0" applyNumberFormat="1" applyFont="1" applyBorder="1" applyAlignment="1">
      <alignment vertical="center"/>
    </xf>
    <xf numFmtId="0" fontId="46" fillId="7" borderId="2" xfId="0" applyFont="1" applyFill="1" applyBorder="1" applyAlignment="1">
      <alignment horizontal="center" vertical="center"/>
    </xf>
    <xf numFmtId="14" fontId="46" fillId="7" borderId="3" xfId="0" applyNumberFormat="1" applyFont="1" applyFill="1" applyBorder="1" applyAlignment="1">
      <alignment horizontal="center" vertical="center"/>
    </xf>
    <xf numFmtId="170" fontId="47" fillId="15" borderId="3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5" fillId="0" borderId="13" xfId="0" applyFont="1" applyBorder="1"/>
    <xf numFmtId="0" fontId="48" fillId="2" borderId="0" xfId="0" applyFont="1" applyFill="1"/>
    <xf numFmtId="0" fontId="49" fillId="8" borderId="0" xfId="0" applyFont="1" applyFill="1" applyAlignment="1">
      <alignment horizontal="center"/>
    </xf>
    <xf numFmtId="165" fontId="50" fillId="0" borderId="0" xfId="0" applyNumberFormat="1" applyFont="1"/>
    <xf numFmtId="0" fontId="25" fillId="0" borderId="0" xfId="0" applyFont="1" applyAlignment="1">
      <alignment horizontal="right" vertical="center"/>
    </xf>
    <xf numFmtId="14" fontId="27" fillId="0" borderId="0" xfId="0" applyNumberFormat="1" applyFont="1" applyAlignment="1">
      <alignment horizontal="right" vertical="center"/>
    </xf>
    <xf numFmtId="0" fontId="25" fillId="0" borderId="11" xfId="0" applyFont="1" applyBorder="1"/>
    <xf numFmtId="0" fontId="25" fillId="0" borderId="0" xfId="0" applyFont="1" applyAlignment="1">
      <alignment horizontal="right" vertical="center" wrapText="1"/>
    </xf>
    <xf numFmtId="0" fontId="25" fillId="0" borderId="37" xfId="0" applyFont="1" applyBorder="1"/>
    <xf numFmtId="0" fontId="25" fillId="9" borderId="0" xfId="0" applyFont="1" applyFill="1"/>
    <xf numFmtId="0" fontId="37" fillId="0" borderId="0" xfId="0" applyFont="1" applyAlignment="1">
      <alignment horizontal="right" vertical="center" wrapText="1"/>
    </xf>
    <xf numFmtId="0" fontId="51" fillId="0" borderId="0" xfId="0" applyFont="1" applyAlignment="1">
      <alignment vertical="center"/>
    </xf>
    <xf numFmtId="0" fontId="53" fillId="8" borderId="0" xfId="0" applyFont="1" applyFill="1"/>
    <xf numFmtId="0" fontId="25" fillId="0" borderId="8" xfId="0" applyFont="1" applyBorder="1"/>
    <xf numFmtId="0" fontId="25" fillId="0" borderId="0" xfId="0" applyFont="1" applyAlignment="1">
      <alignment horizontal="left" indent="1"/>
    </xf>
    <xf numFmtId="165" fontId="50" fillId="0" borderId="8" xfId="0" applyNumberFormat="1" applyFont="1" applyBorder="1"/>
    <xf numFmtId="0" fontId="49" fillId="8" borderId="0" xfId="0" applyFont="1" applyFill="1" applyAlignment="1">
      <alignment horizontal="center"/>
    </xf>
    <xf numFmtId="0" fontId="52" fillId="2" borderId="0" xfId="0" applyFont="1" applyFill="1" applyAlignment="1">
      <alignment horizontal="left" vertical="center" indent="5"/>
    </xf>
    <xf numFmtId="0" fontId="17" fillId="0" borderId="0" xfId="0" applyFont="1" applyFill="1" applyAlignment="1">
      <alignment horizontal="left" indent="1"/>
    </xf>
    <xf numFmtId="0" fontId="22" fillId="13" borderId="0" xfId="0" applyFont="1" applyFill="1" applyAlignment="1">
      <alignment horizontal="left" vertical="center" indent="10"/>
    </xf>
    <xf numFmtId="0" fontId="11" fillId="13" borderId="0" xfId="0" applyFont="1" applyFill="1" applyAlignment="1">
      <alignment horizontal="left" vertical="center" indent="10"/>
    </xf>
    <xf numFmtId="0" fontId="23" fillId="13" borderId="4" xfId="0" applyFont="1" applyFill="1" applyBorder="1" applyAlignment="1">
      <alignment horizontal="left" vertical="center"/>
    </xf>
    <xf numFmtId="0" fontId="23" fillId="13" borderId="5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left" indent="10"/>
    </xf>
    <xf numFmtId="0" fontId="10" fillId="13" borderId="0" xfId="0" applyFont="1" applyFill="1" applyAlignment="1">
      <alignment horizontal="center" vertical="center"/>
    </xf>
    <xf numFmtId="0" fontId="10" fillId="13" borderId="0" xfId="0" applyFont="1" applyFill="1"/>
    <xf numFmtId="0" fontId="23" fillId="13" borderId="11" xfId="0" applyFont="1" applyFill="1" applyBorder="1" applyAlignment="1">
      <alignment horizontal="center" vertical="center" wrapText="1"/>
    </xf>
    <xf numFmtId="165" fontId="31" fillId="13" borderId="11" xfId="0" applyNumberFormat="1" applyFont="1" applyFill="1" applyBorder="1" applyAlignment="1">
      <alignment horizontal="center" vertical="center" wrapText="1"/>
    </xf>
    <xf numFmtId="0" fontId="10" fillId="13" borderId="0" xfId="0" applyFont="1" applyFill="1" applyAlignment="1">
      <alignment horizontal="left" vertical="center" indent="5"/>
    </xf>
    <xf numFmtId="0" fontId="10" fillId="13" borderId="0" xfId="0" applyFont="1" applyFill="1"/>
    <xf numFmtId="0" fontId="23" fillId="13" borderId="0" xfId="0" applyFont="1" applyFill="1" applyAlignment="1">
      <alignment horizontal="center" vertical="center"/>
    </xf>
    <xf numFmtId="167" fontId="32" fillId="7" borderId="0" xfId="0" applyNumberFormat="1" applyFont="1" applyFill="1" applyAlignment="1">
      <alignment horizontal="center" vertical="center"/>
    </xf>
    <xf numFmtId="167" fontId="33" fillId="15" borderId="0" xfId="0" applyNumberFormat="1" applyFont="1" applyFill="1" applyAlignment="1">
      <alignment horizontal="center" vertical="center"/>
    </xf>
    <xf numFmtId="0" fontId="44" fillId="5" borderId="0" xfId="1" applyNumberFormat="1" applyFont="1" applyFill="1"/>
    <xf numFmtId="0" fontId="43" fillId="5" borderId="0" xfId="1" applyNumberFormat="1" applyFont="1" applyFill="1"/>
    <xf numFmtId="0" fontId="43" fillId="3" borderId="0" xfId="1" applyNumberFormat="1" applyFont="1" applyFill="1"/>
    <xf numFmtId="0" fontId="54" fillId="17" borderId="0" xfId="0" applyFont="1" applyFill="1" applyAlignment="1">
      <alignment horizontal="center"/>
    </xf>
    <xf numFmtId="0" fontId="55" fillId="22" borderId="0" xfId="0" applyFont="1" applyFill="1" applyAlignment="1">
      <alignment horizontal="center"/>
    </xf>
    <xf numFmtId="167" fontId="18" fillId="23" borderId="0" xfId="0" applyNumberFormat="1" applyFont="1" applyFill="1"/>
  </cellXfs>
  <cellStyles count="4">
    <cellStyle name="Hyperlink 2 2" xfId="3" xr:uid="{54AF1C61-00DE-4DFA-8A5F-95EC8D81795C}"/>
    <cellStyle name="Normal" xfId="0" builtinId="0"/>
    <cellStyle name="Normal 2" xfId="2" xr:uid="{443E07B0-5396-4E18-AB94-B1DD779B5886}"/>
    <cellStyle name="Normal 2 2 2" xfId="1" xr:uid="{9FBAA7E5-DF7E-4EC1-AB29-527400D89CFD}"/>
  </cellStyles>
  <dxfs count="1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fill>
        <patternFill patternType="solid">
          <fgColor indexed="64"/>
          <bgColor rgb="FFE7F2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</dxf>
    <dxf>
      <font>
        <b/>
        <color rgb="FF000000"/>
        <name val="Calibri"/>
        <scheme val="none"/>
      </font>
      <numFmt numFmtId="166" formatCode="0.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numFmt numFmtId="166" formatCode="0.0%"/>
      <fill>
        <patternFill patternType="solid">
          <fgColor indexed="64"/>
          <bgColor rgb="FFE7F2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numFmt numFmtId="166" formatCode="0.0%"/>
      <fill>
        <patternFill patternType="solid">
          <fgColor indexed="64"/>
          <bgColor rgb="FFE7F2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none"/>
      </font>
      <numFmt numFmtId="166" formatCode="0.0%"/>
      <fill>
        <patternFill patternType="solid">
          <fgColor indexed="64"/>
          <bgColor rgb="FFE7F2FF"/>
        </patternFill>
      </fill>
      <alignment horizontal="center" vertical="center" textRotation="0" wrapText="0" indent="0" justifyLastLine="0" shrinkToFit="0" readingOrder="0"/>
    </dxf>
    <dxf>
      <font>
        <name val="Calibri"/>
        <scheme val="none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3864"/>
        <name val="Calibri"/>
        <scheme val="none"/>
      </font>
      <numFmt numFmtId="14" formatCode="0.00%"/>
      <fill>
        <patternFill patternType="solid">
          <fgColor indexed="64"/>
          <bgColor rgb="FFDCE6F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.0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167" formatCode="\£#,##0;\(\£#,##0\);&quot;-&quot;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numFmt numFmtId="22" formatCode="mmm\-yy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9F9F9"/>
        </patternFill>
      </fill>
    </dxf>
    <dxf>
      <fill>
        <patternFill>
          <bgColor rgb="FFE7F2FF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9F9F9"/>
        </patternFill>
      </fill>
    </dxf>
    <dxf>
      <fill>
        <patternFill>
          <bgColor rgb="FFE7F2FF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9F9F9"/>
        </patternFill>
      </fill>
    </dxf>
    <dxf>
      <fill>
        <patternFill>
          <bgColor rgb="FFE7F2FF"/>
        </patternFill>
      </fill>
    </dxf>
    <dxf>
      <font>
        <color rgb="FFC00000"/>
      </font>
    </dxf>
    <dxf>
      <fill>
        <patternFill>
          <bgColor rgb="FFF9F9F9"/>
        </patternFill>
      </fill>
    </dxf>
    <dxf>
      <fill>
        <patternFill>
          <bgColor rgb="FFE7F2FF"/>
        </patternFill>
      </fill>
    </dxf>
    <dxf>
      <font>
        <color rgb="FFC00000"/>
      </font>
    </dxf>
    <dxf>
      <fill>
        <patternFill>
          <bgColor rgb="FFF9F9F9"/>
        </patternFill>
      </fill>
    </dxf>
    <dxf>
      <fill>
        <patternFill>
          <bgColor rgb="FFE7F2FF"/>
        </patternFill>
      </fill>
    </dxf>
    <dxf>
      <border outline="0">
        <bottom style="thin">
          <color auto="1"/>
        </bottom>
      </border>
    </dxf>
    <dxf>
      <border outline="0">
        <bottom style="thin">
          <color theme="0" tint="-0.34998626667073579"/>
        </bottom>
      </border>
    </dxf>
  </dxfs>
  <tableStyles count="0" defaultTableStyle="TableStyleMedium2" defaultPivotStyle="PivotStyleLight16"/>
  <colors>
    <mruColors>
      <color rgb="FF1F3864"/>
      <color rgb="FFF5F7FA"/>
      <color rgb="FF1C325A"/>
      <color rgb="FFF3FBEF"/>
      <color rgb="FFEAF8E4"/>
      <color rgb="FF3271D2"/>
      <color rgb="FFE7F2FF"/>
      <color rgb="FF006100"/>
      <color rgb="FFF2F2F2"/>
      <color rgb="FFEAF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DACE764-12CA-46F4-B5F4-2D2D57F4848C}" autoFormatId="16" applyNumberFormats="0" applyBorderFormats="0" applyFontFormats="0" applyPatternFormats="0" applyAlignmentFormats="0" applyWidthHeightFormats="0">
  <queryTableRefresh nextId="78">
    <queryTableFields count="60">
      <queryTableField id="1" name="reporting_month_date" tableColumnId="1"/>
      <queryTableField id="2" name="billings_gbp" tableColumnId="2"/>
      <queryTableField id="3" name="recognised_revenue_actual_gbp" tableColumnId="3"/>
      <queryTableField id="4" name="recognised_revenue_total_gbp" tableColumnId="4"/>
      <queryTableField id="5" name="cash_collected_gbp" tableColumnId="5"/>
      <queryTableField id="7" name="net_unallocated_invoice_exposure_gbp" tableColumnId="7"/>
      <queryTableField id="6" name="open_ar_exposure_gbp" tableColumnId="6"/>
      <queryTableField id="57" name="revenue_vs_o2c_billings_variance_gbp" tableColumnId="53"/>
      <queryTableField id="58" name="revenue_vs_o2c_billings_status" tableColumnId="54"/>
      <queryTableField id="8" name="opening_deferred_revenue_gbp" tableColumnId="8"/>
      <queryTableField id="9" name="new_billings_deferred_revenue_gbp" tableColumnId="9"/>
      <queryTableField id="10" name="recognised_revenue_release_gbp" tableColumnId="10"/>
      <queryTableField id="11" name="closing_deferred_revenue_gbp" tableColumnId="11"/>
      <queryTableField id="59" name="deferred_revenue_model_variance_gbp" tableColumnId="55"/>
      <queryTableField id="60" name="deferred_revenue_model_status" tableColumnId="56"/>
      <queryTableField id="12" name="ap_invoice_spend_gbp" tableColumnId="12"/>
      <queryTableField id="13" name="supplier_cash_paid_gbp" tableColumnId="13"/>
      <queryTableField id="14" name="open_ap_liability_gbp" tableColumnId="14"/>
      <queryTableField id="15" name="overdue_ap_liability_gbp" tableColumnId="15"/>
      <queryTableField id="16" name="dpo_proxy_days" tableColumnId="16"/>
      <queryTableField id="61" name="ap_control_status" tableColumnId="57"/>
      <queryTableField id="17" name="payroll_cost_gbp" tableColumnId="17"/>
      <queryTableField id="18" name="base_salary_cost_gbp" tableColumnId="18"/>
      <queryTableField id="19" name="employer_tax_cost_gbp" tableColumnId="19"/>
      <queryTableField id="20" name="benefits_cost_gbp" tableColumnId="20"/>
      <queryTableField id="21" name="bonus_accrual_cost_gbp" tableColumnId="21"/>
      <queryTableField id="22" name="active_headcount_count" tableColumnId="22"/>
      <queryTableField id="23" name="active_fte_count" tableColumnId="23"/>
      <queryTableField id="24" name="model_payroll_cost_per_active_fte_gbp" tableColumnId="24"/>
      <queryTableField id="62" name="workforce_control_status" tableColumnId="58"/>
      <queryTableField id="25" name="beginning_arr_gbp" tableColumnId="25"/>
      <queryTableField id="26" name="new_business_arr_gbp" tableColumnId="26"/>
      <queryTableField id="27" name="expansion_arr_gbp" tableColumnId="27"/>
      <queryTableField id="28" name="contraction_arr_gbp" tableColumnId="28"/>
      <queryTableField id="29" name="churn_arr_gbp" tableColumnId="29"/>
      <queryTableField id="30" name="net_arr_delta_gbp" tableColumnId="30"/>
      <queryTableField id="47" name="arr_monthly_run_rate_source_gbp" tableColumnId="31"/>
      <queryTableField id="48" name="headline_arr_gbp" tableColumnId="32"/>
      <queryTableField id="63" name="saas_arr_control_status" tableColumnId="59"/>
      <queryTableField id="39" name="beginning_active_customer_count" tableColumnId="39"/>
      <queryTableField id="40" name="ending_active_customer_count" tableColumnId="40"/>
      <queryTableField id="38" name="churned_customer_count" tableColumnId="38"/>
      <queryTableField id="37" name="new_customer_count" tableColumnId="37"/>
      <queryTableField id="33" name="gross_revenue_retention_rate" tableColumnId="33"/>
      <queryTableField id="34" name="net_revenue_retention_rate" tableColumnId="34"/>
      <queryTableField id="35" name="logo_churn_rate" tableColumnId="35"/>
      <queryTableField id="36" name="new_customer_rate" tableColumnId="36"/>
      <queryTableField id="64" name="saas_retention_control_status" tableColumnId="60"/>
      <queryTableField id="41" name="actual_operating_expense_gbp" tableColumnId="41"/>
      <queryTableField id="42" name="actual_operating_profit_gbp" tableColumnId="42"/>
      <queryTableField id="43" name="actual_operating_margin" tableColumnId="43"/>
      <queryTableField id="44" name="revenue_per_active_fte_gbp" tableColumnId="44"/>
      <queryTableField id="45" name="arr_net_movement_pct" tableColumnId="45"/>
      <queryTableField id="46" name="period_type" tableColumnId="46"/>
      <queryTableField id="49" name="arr_monthly_run_rate_from_active_gbp" tableColumnId="47"/>
      <queryTableField id="50" name="arr_monthly_run_rate_variance_gbp" tableColumnId="48"/>
      <queryTableField id="51" name="arr_bridge_calc_active_arr_gbp" tableColumnId="49"/>
      <queryTableField id="52" name="arr_bridge_variance_gbp" tableColumnId="50"/>
      <queryTableField id="53" name="arr_bridge_status" tableColumnId="51"/>
      <queryTableField id="54" name="arr_monthly_run_rate_status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E61614-4A3D-44C4-9DA7-F47B70B31738}" name="tbl_model_feed_final" displayName="tbl_model_feed_final" ref="A1:BH43" tableType="queryTable" totalsRowShown="0" headerRowDxfId="9" dataDxfId="8" tableBorderDxfId="150">
  <autoFilter ref="A1:BH43" xr:uid="{90E61614-4A3D-44C4-9DA7-F47B70B31738}"/>
  <tableColumns count="60">
    <tableColumn id="1" xr3:uid="{D485E396-AF25-49A9-B6E7-F9DD1AD58F8E}" uniqueName="1" name="reporting_month_date" queryTableFieldId="1" dataDxfId="69"/>
    <tableColumn id="2" xr3:uid="{F9AF1184-40B9-4A63-9B43-5428A969A6D0}" uniqueName="2" name="billings_gbp" queryTableFieldId="2" dataDxfId="68"/>
    <tableColumn id="3" xr3:uid="{588D3D8E-06AB-4BD7-AE60-C35E48B245CA}" uniqueName="3" name="recognised_revenue_actual_gbp" queryTableFieldId="3" dataDxfId="67"/>
    <tableColumn id="4" xr3:uid="{736C8C07-C63D-4FF1-86FF-92DEF350D467}" uniqueName="4" name="recognised_revenue_total_gbp" queryTableFieldId="4" dataDxfId="66"/>
    <tableColumn id="5" xr3:uid="{809D07B6-E16E-4C66-9DE5-5C723F37D61C}" uniqueName="5" name="cash_collected_gbp" queryTableFieldId="5" dataDxfId="65"/>
    <tableColumn id="7" xr3:uid="{2A92C05A-6A9A-4953-9921-233945AA9869}" uniqueName="7" name="net_unallocated_invoice_exposure_gbp" queryTableFieldId="7" dataDxfId="64"/>
    <tableColumn id="6" xr3:uid="{93E36269-81E4-4A09-A642-5BEB3612C000}" uniqueName="6" name="open_ar_exposure_gbp" queryTableFieldId="6" dataDxfId="63"/>
    <tableColumn id="53" xr3:uid="{17AC38DB-C771-4B0B-B917-00F23031D65A}" uniqueName="53" name="revenue_vs_o2c_billings_variance_gbp" queryTableFieldId="57" dataDxfId="62"/>
    <tableColumn id="54" xr3:uid="{596DE018-B405-43BB-8970-5BB02D98F247}" uniqueName="54" name="revenue_vs_o2c_billings_status" queryTableFieldId="58" dataDxfId="61"/>
    <tableColumn id="8" xr3:uid="{D46FC94B-4E32-4F81-9352-27F8CC072DCD}" uniqueName="8" name="opening_deferred_revenue_gbp" queryTableFieldId="8" dataDxfId="60"/>
    <tableColumn id="9" xr3:uid="{833AE29D-4D1F-4CD3-BEF5-8A9292EE2252}" uniqueName="9" name="new_billings_deferred_revenue_gbp" queryTableFieldId="9" dataDxfId="59"/>
    <tableColumn id="10" xr3:uid="{01BECFA9-EB65-49C4-A911-E5A87204B2FC}" uniqueName="10" name="recognised_revenue_release_gbp" queryTableFieldId="10" dataDxfId="58"/>
    <tableColumn id="11" xr3:uid="{94115A8D-D1BB-48CC-B15A-57F32D9D08BF}" uniqueName="11" name="closing_deferred_revenue_gbp" queryTableFieldId="11" dataDxfId="57"/>
    <tableColumn id="55" xr3:uid="{FA8368C2-091B-4988-AE6A-B157D2D24860}" uniqueName="55" name="deferred_revenue_model_variance_gbp" queryTableFieldId="59" dataDxfId="56"/>
    <tableColumn id="56" xr3:uid="{5CBFF44D-6C90-44D5-B34A-7E0263E8EE99}" uniqueName="56" name="deferred_revenue_model_status" queryTableFieldId="60" dataDxfId="55"/>
    <tableColumn id="12" xr3:uid="{04127BD4-182C-4D2F-898C-38354C1F9EC0}" uniqueName="12" name="ap_invoice_spend_gbp" queryTableFieldId="12" dataDxfId="54"/>
    <tableColumn id="13" xr3:uid="{03D7B6E9-4A15-46E1-AECD-7918CC7CB3D6}" uniqueName="13" name="supplier_cash_paid_gbp" queryTableFieldId="13" dataDxfId="53"/>
    <tableColumn id="14" xr3:uid="{4A550788-C33F-4C39-8320-112C6F226609}" uniqueName="14" name="open_ap_liability_gbp" queryTableFieldId="14" dataDxfId="52"/>
    <tableColumn id="15" xr3:uid="{5E53ED32-1354-4C65-9834-988DA58833C9}" uniqueName="15" name="overdue_ap_liability_gbp" queryTableFieldId="15" dataDxfId="51"/>
    <tableColumn id="16" xr3:uid="{4D58C195-071A-4328-A3ED-8BC0D265D969}" uniqueName="16" name="dpo_proxy_days" queryTableFieldId="16" dataDxfId="50"/>
    <tableColumn id="57" xr3:uid="{6A4C08D1-43A9-415B-940E-214E582384E5}" uniqueName="57" name="ap_control_status" queryTableFieldId="61" dataDxfId="49"/>
    <tableColumn id="17" xr3:uid="{0FFD5A02-58B4-4F2E-A900-F11169FAD237}" uniqueName="17" name="payroll_cost_gbp" queryTableFieldId="17" dataDxfId="48"/>
    <tableColumn id="18" xr3:uid="{30B8E8AA-7F1A-48F4-9EFC-F72C356F6262}" uniqueName="18" name="base_salary_cost_gbp" queryTableFieldId="18" dataDxfId="47"/>
    <tableColumn id="19" xr3:uid="{1FDA342E-D900-4E69-A83F-662DA287AAEC}" uniqueName="19" name="employer_tax_cost_gbp" queryTableFieldId="19" dataDxfId="46"/>
    <tableColumn id="20" xr3:uid="{3B1F5F60-7E8F-4675-92A8-44508DBF876D}" uniqueName="20" name="benefits_cost_gbp" queryTableFieldId="20" dataDxfId="45"/>
    <tableColumn id="21" xr3:uid="{8FF5C16A-B3D9-42A5-AAFA-F6CC14C2D733}" uniqueName="21" name="bonus_accrual_cost_gbp" queryTableFieldId="21" dataDxfId="44"/>
    <tableColumn id="22" xr3:uid="{88A41C94-9A76-4197-93A3-F5905639098C}" uniqueName="22" name="active_headcount_count" queryTableFieldId="22" dataDxfId="43"/>
    <tableColumn id="23" xr3:uid="{63B6380F-BB8A-451F-980F-4A78D68FD5F6}" uniqueName="23" name="active_fte_count" queryTableFieldId="23" dataDxfId="42"/>
    <tableColumn id="24" xr3:uid="{5B644D74-060F-4F62-B81C-8FC32717BE29}" uniqueName="24" name="model_payroll_cost_per_active_fte_gbp" queryTableFieldId="24" dataDxfId="41"/>
    <tableColumn id="58" xr3:uid="{10972565-815D-4004-B119-971D0BE0AE2D}" uniqueName="58" name="workforce_control_status" queryTableFieldId="62" dataDxfId="40"/>
    <tableColumn id="25" xr3:uid="{D838336E-6F67-4CF4-9676-D78B2022F865}" uniqueName="25" name="beginning_arr_gbp" queryTableFieldId="25" dataDxfId="39"/>
    <tableColumn id="26" xr3:uid="{527834CA-70CC-4DC4-8C6C-AFF11DF9F172}" uniqueName="26" name="new_business_arr_gbp" queryTableFieldId="26" dataDxfId="38"/>
    <tableColumn id="27" xr3:uid="{9B251A41-D84D-43E6-8B3F-479F893A2E11}" uniqueName="27" name="expansion_arr_gbp" queryTableFieldId="27" dataDxfId="37"/>
    <tableColumn id="28" xr3:uid="{FCDF519D-BF2E-4723-89BE-74FC36611AB3}" uniqueName="28" name="contraction_arr_gbp" queryTableFieldId="28" dataDxfId="36"/>
    <tableColumn id="29" xr3:uid="{2C98AB7F-8F8C-430F-87C1-9BE00CD6ECB3}" uniqueName="29" name="churn_arr_gbp" queryTableFieldId="29" dataDxfId="35"/>
    <tableColumn id="30" xr3:uid="{883C15CE-5067-4B56-8B4F-572E51C6C469}" uniqueName="30" name="net_arr_delta_gbp" queryTableFieldId="30" dataDxfId="34"/>
    <tableColumn id="31" xr3:uid="{9C22459F-187B-466D-972B-A0D00EA959F8}" uniqueName="31" name="arr_monthly_run_rate_source_gbp" queryTableFieldId="47" dataDxfId="33"/>
    <tableColumn id="32" xr3:uid="{6835D355-D7BF-46A5-93CA-B1C3FC196A92}" uniqueName="32" name="headline_arr_gbp" queryTableFieldId="48" dataDxfId="32"/>
    <tableColumn id="59" xr3:uid="{E8E49317-55C1-4FF1-939C-8CF2B8CBD34E}" uniqueName="59" name="saas_arr_control_status" queryTableFieldId="63" dataDxfId="31"/>
    <tableColumn id="39" xr3:uid="{3BC551AF-4771-4B38-8EDA-17C77D836C19}" uniqueName="39" name="beginning_active_customer_count" queryTableFieldId="39" dataDxfId="30"/>
    <tableColumn id="40" xr3:uid="{995A50EF-4619-4183-A9DB-5456A45C4232}" uniqueName="40" name="ending_active_customer_count" queryTableFieldId="40" dataDxfId="29"/>
    <tableColumn id="38" xr3:uid="{40EB0B27-ED56-421E-BB69-FB246DFAAD10}" uniqueName="38" name="churned_customer_count" queryTableFieldId="38" dataDxfId="28"/>
    <tableColumn id="37" xr3:uid="{7AAB2493-8C35-4F47-AFA4-CD47F9626019}" uniqueName="37" name="new_customer_count" queryTableFieldId="37" dataDxfId="27"/>
    <tableColumn id="33" xr3:uid="{EC6A10DB-C2A6-4D85-856F-58919112F5F4}" uniqueName="33" name="gross_revenue_retention_rate" queryTableFieldId="33" dataDxfId="26"/>
    <tableColumn id="34" xr3:uid="{E1D07E29-DFEA-453F-B6F5-F4E621021881}" uniqueName="34" name="net_revenue_retention_rate" queryTableFieldId="34" dataDxfId="25"/>
    <tableColumn id="35" xr3:uid="{4A256F41-30EA-46EB-AA69-271D437A3358}" uniqueName="35" name="logo_churn_rate" queryTableFieldId="35" dataDxfId="24"/>
    <tableColumn id="36" xr3:uid="{3FA6DEE2-0DBB-4456-AF4E-95F4FA6D79AD}" uniqueName="36" name="new_customer_rate" queryTableFieldId="36" dataDxfId="23"/>
    <tableColumn id="60" xr3:uid="{695B2EA9-A2EC-49B8-9E45-996E95DA36B0}" uniqueName="60" name="saas_retention_control_status" queryTableFieldId="64" dataDxfId="22"/>
    <tableColumn id="41" xr3:uid="{87F63DCD-4633-4F34-BE2B-D39D910D4037}" uniqueName="41" name="actual_operating_expense_gbp" queryTableFieldId="41" dataDxfId="21"/>
    <tableColumn id="42" xr3:uid="{A23A8E19-7276-4FCD-A346-89341F54C9C9}" uniqueName="42" name="actual_operating_profit_gbp" queryTableFieldId="42" dataDxfId="20"/>
    <tableColumn id="43" xr3:uid="{C28E70F7-FD60-43CD-BA82-043C59A9595B}" uniqueName="43" name="actual_operating_margin" queryTableFieldId="43" dataDxfId="19"/>
    <tableColumn id="44" xr3:uid="{74AC3F8A-63A5-4B91-81BD-B59900AB5C49}" uniqueName="44" name="revenue_per_active_fte_gbp" queryTableFieldId="44" dataDxfId="18"/>
    <tableColumn id="45" xr3:uid="{983FFDB5-26C0-4076-90EC-A946DF634214}" uniqueName="45" name="arr_net_movement_pct" queryTableFieldId="45" dataDxfId="17"/>
    <tableColumn id="46" xr3:uid="{FE527BC5-4B77-4C4F-A9E4-C09F2FD009D1}" uniqueName="46" name="period_type" queryTableFieldId="46" dataDxfId="16"/>
    <tableColumn id="47" xr3:uid="{50774364-03DE-404E-85E7-DFAA4D02DA47}" uniqueName="47" name="arr_monthly_run_rate_from_active_gbp" queryTableFieldId="49" dataDxfId="15"/>
    <tableColumn id="48" xr3:uid="{B4FD069C-3F44-44E4-97DD-96E32DD2C0C8}" uniqueName="48" name="arr_monthly_run_rate_variance_gbp" queryTableFieldId="50" dataDxfId="14"/>
    <tableColumn id="49" xr3:uid="{7CE92541-9D84-485B-A774-2399C10ECB69}" uniqueName="49" name="arr_bridge_calc_active_arr_gbp" queryTableFieldId="51" dataDxfId="13"/>
    <tableColumn id="50" xr3:uid="{7117012B-D671-4B84-B6EA-C6944021AEBA}" uniqueName="50" name="arr_bridge_variance_gbp" queryTableFieldId="52" dataDxfId="12"/>
    <tableColumn id="51" xr3:uid="{BFDEE879-165E-495A-A03B-EBF04A932141}" uniqueName="51" name="arr_bridge_status" queryTableFieldId="53" dataDxfId="11"/>
    <tableColumn id="52" xr3:uid="{88B654A9-43F5-4900-B1CF-D76188276FF3}" uniqueName="52" name="arr_monthly_run_rate_status" queryTableFieldId="54" dataDxfId="1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66169-33F0-449D-87EB-2542BC4BDA03}" name="tbl_assumptions" displayName="tbl_assumptions" ref="A5:F25" totalsRowShown="0" headerRowDxfId="1" dataDxfId="0" headerRowBorderDxfId="149">
  <autoFilter ref="A5:F25" xr:uid="{37E66169-33F0-449D-87EB-2542BC4BDA03}"/>
  <tableColumns count="6">
    <tableColumn id="6" xr3:uid="{AFF54412-9203-45CD-9089-F334CA45D76B}" name="Category" dataDxfId="7"/>
    <tableColumn id="1" xr3:uid="{71293859-1C0C-4AFC-A822-5F019D286150}" name="Driver" dataDxfId="6"/>
    <tableColumn id="2" xr3:uid="{5C2A7C82-A3A2-4CF4-8F70-1137F8F3CA22}" name="Downside" dataDxfId="5"/>
    <tableColumn id="3" xr3:uid="{7F0AF746-60BE-4F1A-A078-DA8D659CECB9}" name="Base" dataDxfId="4"/>
    <tableColumn id="4" xr3:uid="{62B2D68C-A310-40BF-B9C7-A3F89B025241}" name="Upside" dataDxfId="3"/>
    <tableColumn id="5" xr3:uid="{0C9EDB5B-8D40-478B-95EC-B3DB605E14B2}" name="Selected Scenario" dataDxfId="2">
      <calculatedColumnFormula>CHOOSE(MATCH('02_Control'!$B$14,{"Downside","Base","Upside"},0),C6,D6,E6)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C8DCE8-F2F7-448D-A9CD-F483D4320EC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cc0b5da-3c7f-48f6-b835-af43e0cd2c7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A5D1-7B17-49C5-9449-8140B080CCBE}">
  <dimension ref="A1:K41"/>
  <sheetViews>
    <sheetView showGridLines="0" tabSelected="1" zoomScale="70" zoomScaleNormal="70" workbookViewId="0">
      <selection activeCell="L20" sqref="L20"/>
    </sheetView>
  </sheetViews>
  <sheetFormatPr defaultColWidth="14.44140625" defaultRowHeight="15" customHeight="1" x14ac:dyDescent="0.3"/>
  <cols>
    <col min="1" max="2" width="9.109375" style="4" customWidth="1"/>
    <col min="3" max="3" width="20.109375" style="4" customWidth="1"/>
    <col min="4" max="4" width="51.88671875" style="4" customWidth="1"/>
    <col min="5" max="5" width="12" style="4" customWidth="1"/>
    <col min="6" max="6" width="16.44140625" style="4" customWidth="1"/>
    <col min="7" max="7" width="12.109375" style="4" customWidth="1"/>
    <col min="8" max="8" width="13.33203125" style="4" customWidth="1"/>
    <col min="9" max="11" width="9.109375" style="4" customWidth="1"/>
    <col min="12" max="16384" width="14.44140625" style="4"/>
  </cols>
  <sheetData>
    <row r="1" spans="1:11" ht="19.5" customHeight="1" thickBot="1" x14ac:dyDescent="0.35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 ht="19.5" customHeight="1" thickTop="1" x14ac:dyDescent="0.3">
      <c r="A2" s="140"/>
      <c r="B2" s="141"/>
      <c r="C2" s="142"/>
      <c r="D2" s="142"/>
      <c r="E2" s="142"/>
      <c r="F2" s="142"/>
      <c r="G2" s="143"/>
      <c r="H2" s="144"/>
      <c r="I2" s="140"/>
      <c r="J2" s="140"/>
      <c r="K2" s="140"/>
    </row>
    <row r="3" spans="1:11" ht="19.5" customHeight="1" x14ac:dyDescent="0.3">
      <c r="A3" s="140"/>
      <c r="B3" s="145"/>
      <c r="C3" s="146"/>
      <c r="D3" s="146"/>
      <c r="E3" s="146"/>
      <c r="F3" s="146"/>
      <c r="G3" s="147"/>
      <c r="H3" s="148"/>
      <c r="I3" s="140"/>
      <c r="J3" s="140"/>
      <c r="K3" s="140"/>
    </row>
    <row r="4" spans="1:11" ht="19.5" customHeight="1" x14ac:dyDescent="0.3">
      <c r="A4" s="140"/>
      <c r="B4" s="145"/>
      <c r="C4" s="146"/>
      <c r="D4" s="146"/>
      <c r="E4" s="146"/>
      <c r="F4" s="146"/>
      <c r="G4" s="147"/>
      <c r="H4" s="148"/>
      <c r="I4" s="140"/>
      <c r="J4" s="140"/>
      <c r="K4" s="140"/>
    </row>
    <row r="5" spans="1:11" ht="25.8" x14ac:dyDescent="0.5">
      <c r="A5" s="140"/>
      <c r="B5" s="145"/>
      <c r="C5" s="149" t="s">
        <v>13</v>
      </c>
      <c r="D5" s="146"/>
      <c r="E5" s="146"/>
      <c r="F5" s="146"/>
      <c r="G5" s="147"/>
      <c r="H5" s="148"/>
      <c r="I5" s="140"/>
      <c r="J5" s="140"/>
      <c r="K5" s="140"/>
    </row>
    <row r="6" spans="1:11" ht="19.5" customHeight="1" x14ac:dyDescent="0.3">
      <c r="A6" s="140"/>
      <c r="B6" s="145"/>
      <c r="C6" s="146"/>
      <c r="D6" s="146"/>
      <c r="E6" s="146"/>
      <c r="F6" s="146"/>
      <c r="G6" s="147"/>
      <c r="H6" s="148"/>
      <c r="I6" s="140"/>
      <c r="J6" s="140"/>
      <c r="K6" s="140"/>
    </row>
    <row r="7" spans="1:11" ht="19.5" customHeight="1" x14ac:dyDescent="0.3">
      <c r="A7" s="140"/>
      <c r="B7" s="145"/>
      <c r="C7" s="146"/>
      <c r="D7" s="146"/>
      <c r="E7" s="146"/>
      <c r="F7" s="146"/>
      <c r="G7" s="147"/>
      <c r="H7" s="148"/>
      <c r="I7" s="140"/>
      <c r="J7" s="140"/>
      <c r="K7" s="140"/>
    </row>
    <row r="8" spans="1:11" ht="19.5" customHeight="1" x14ac:dyDescent="0.3">
      <c r="A8" s="140"/>
      <c r="B8" s="145"/>
      <c r="C8" s="146"/>
      <c r="D8" s="146"/>
      <c r="E8" s="146"/>
      <c r="F8" s="146"/>
      <c r="G8" s="147"/>
      <c r="H8" s="148"/>
      <c r="I8" s="140"/>
      <c r="J8" s="140"/>
      <c r="K8" s="140"/>
    </row>
    <row r="9" spans="1:11" ht="19.5" customHeight="1" x14ac:dyDescent="0.3">
      <c r="A9" s="140"/>
      <c r="B9" s="150"/>
      <c r="C9" s="151"/>
      <c r="D9" s="151"/>
      <c r="E9" s="151"/>
      <c r="F9" s="151"/>
      <c r="G9" s="151"/>
      <c r="H9" s="152"/>
      <c r="I9" s="140"/>
      <c r="J9" s="140"/>
      <c r="K9" s="140"/>
    </row>
    <row r="10" spans="1:11" ht="19.5" customHeight="1" x14ac:dyDescent="0.3">
      <c r="A10" s="140"/>
      <c r="B10" s="150"/>
      <c r="C10" s="153"/>
      <c r="D10" s="151"/>
      <c r="E10" s="154"/>
      <c r="F10" s="154"/>
      <c r="G10" s="151"/>
      <c r="H10" s="152"/>
      <c r="I10" s="140"/>
      <c r="J10" s="140"/>
      <c r="K10" s="140"/>
    </row>
    <row r="11" spans="1:11" ht="19.5" customHeight="1" x14ac:dyDescent="0.3">
      <c r="A11" s="140"/>
      <c r="B11" s="155"/>
      <c r="C11" s="153"/>
      <c r="D11" s="151"/>
      <c r="E11" s="154"/>
      <c r="F11" s="154"/>
      <c r="G11" s="151"/>
      <c r="H11" s="156"/>
      <c r="I11" s="140"/>
      <c r="J11" s="140"/>
      <c r="K11" s="140"/>
    </row>
    <row r="12" spans="1:11" ht="31.2" x14ac:dyDescent="0.6">
      <c r="A12" s="140"/>
      <c r="B12" s="157" t="s">
        <v>240</v>
      </c>
      <c r="C12" s="158"/>
      <c r="D12" s="158"/>
      <c r="E12" s="158"/>
      <c r="F12" s="158"/>
      <c r="G12" s="158"/>
      <c r="H12" s="159"/>
      <c r="I12" s="140"/>
      <c r="J12" s="140"/>
      <c r="K12" s="140"/>
    </row>
    <row r="13" spans="1:11" ht="14.4" x14ac:dyDescent="0.3">
      <c r="A13" s="140"/>
      <c r="B13" s="160"/>
      <c r="C13" s="151"/>
      <c r="D13" s="154"/>
      <c r="E13" s="154"/>
      <c r="F13" s="151"/>
      <c r="G13" s="151"/>
      <c r="H13" s="152"/>
      <c r="I13" s="140"/>
      <c r="J13" s="140"/>
      <c r="K13" s="161"/>
    </row>
    <row r="14" spans="1:11" ht="18" x14ac:dyDescent="0.35">
      <c r="A14" s="140"/>
      <c r="B14" s="127" t="s">
        <v>34</v>
      </c>
      <c r="C14" s="128"/>
      <c r="D14" s="128"/>
      <c r="E14" s="128"/>
      <c r="F14" s="128"/>
      <c r="G14" s="128"/>
      <c r="H14" s="129"/>
      <c r="I14" s="140"/>
      <c r="J14" s="140"/>
      <c r="K14" s="140"/>
    </row>
    <row r="15" spans="1:11" ht="19.5" customHeight="1" x14ac:dyDescent="0.5">
      <c r="A15" s="140"/>
      <c r="B15" s="155"/>
      <c r="C15" s="162"/>
      <c r="D15" s="151"/>
      <c r="E15" s="154"/>
      <c r="F15" s="154"/>
      <c r="G15" s="151"/>
      <c r="H15" s="156"/>
      <c r="I15" s="140"/>
      <c r="J15" s="140"/>
      <c r="K15" s="140"/>
    </row>
    <row r="16" spans="1:11" ht="19.5" customHeight="1" x14ac:dyDescent="0.5">
      <c r="A16" s="140"/>
      <c r="B16" s="155"/>
      <c r="C16" s="162"/>
      <c r="D16" s="151"/>
      <c r="E16" s="154"/>
      <c r="F16" s="154"/>
      <c r="G16" s="151"/>
      <c r="H16" s="156"/>
      <c r="I16" s="140"/>
      <c r="J16" s="140"/>
      <c r="K16" s="140"/>
    </row>
    <row r="17" spans="1:11" ht="19.5" customHeight="1" x14ac:dyDescent="0.3">
      <c r="A17" s="140"/>
      <c r="B17" s="155"/>
      <c r="C17" s="163" t="s">
        <v>39</v>
      </c>
      <c r="D17" s="164"/>
      <c r="E17" s="164"/>
      <c r="F17" s="164"/>
      <c r="G17" s="164"/>
      <c r="H17" s="156"/>
      <c r="I17" s="140"/>
      <c r="J17" s="140"/>
      <c r="K17" s="140"/>
    </row>
    <row r="18" spans="1:11" ht="19.5" customHeight="1" x14ac:dyDescent="0.3">
      <c r="A18" s="140"/>
      <c r="B18" s="150"/>
      <c r="C18" s="215" t="s">
        <v>35</v>
      </c>
      <c r="D18" s="164"/>
      <c r="E18" s="164"/>
      <c r="F18" s="164"/>
      <c r="G18" s="164"/>
      <c r="H18" s="152"/>
      <c r="I18" s="140"/>
      <c r="J18" s="140"/>
      <c r="K18" s="140"/>
    </row>
    <row r="19" spans="1:11" ht="14.25" customHeight="1" x14ac:dyDescent="0.3">
      <c r="A19" s="140"/>
      <c r="B19" s="165"/>
      <c r="C19" s="215" t="s">
        <v>36</v>
      </c>
      <c r="D19" s="164"/>
      <c r="E19" s="164"/>
      <c r="F19" s="164"/>
      <c r="G19" s="164"/>
      <c r="H19" s="166"/>
      <c r="I19" s="140"/>
      <c r="J19" s="140"/>
      <c r="K19" s="140"/>
    </row>
    <row r="20" spans="1:11" ht="14.25" customHeight="1" x14ac:dyDescent="0.3">
      <c r="A20" s="140"/>
      <c r="B20" s="165"/>
      <c r="C20" s="215" t="s">
        <v>37</v>
      </c>
      <c r="D20" s="164"/>
      <c r="E20" s="164"/>
      <c r="F20" s="164"/>
      <c r="G20" s="164"/>
      <c r="H20" s="166"/>
      <c r="I20" s="140"/>
      <c r="J20" s="140"/>
      <c r="K20" s="140"/>
    </row>
    <row r="21" spans="1:11" ht="14.25" customHeight="1" x14ac:dyDescent="0.3">
      <c r="A21" s="140"/>
      <c r="B21" s="165"/>
      <c r="C21" s="215" t="s">
        <v>38</v>
      </c>
      <c r="D21" s="164"/>
      <c r="E21" s="164"/>
      <c r="F21" s="164"/>
      <c r="G21" s="164"/>
      <c r="H21" s="166"/>
      <c r="I21" s="140"/>
      <c r="J21" s="140"/>
      <c r="K21" s="140"/>
    </row>
    <row r="22" spans="1:11" ht="14.25" customHeight="1" x14ac:dyDescent="0.3">
      <c r="A22" s="140"/>
      <c r="B22" s="165"/>
      <c r="C22" s="216"/>
      <c r="D22" s="164"/>
      <c r="E22" s="164"/>
      <c r="F22" s="164"/>
      <c r="G22" s="164"/>
      <c r="H22" s="166"/>
      <c r="I22" s="140"/>
      <c r="J22" s="140"/>
      <c r="K22" s="140"/>
    </row>
    <row r="23" spans="1:11" ht="14.25" customHeight="1" x14ac:dyDescent="0.3">
      <c r="A23" s="140"/>
      <c r="B23" s="165"/>
      <c r="C23" s="216"/>
      <c r="D23" s="164"/>
      <c r="E23" s="164"/>
      <c r="F23" s="164"/>
      <c r="G23" s="164"/>
      <c r="H23" s="166"/>
      <c r="I23" s="140"/>
      <c r="J23" s="140"/>
      <c r="K23" s="140"/>
    </row>
    <row r="24" spans="1:11" ht="14.25" customHeight="1" x14ac:dyDescent="0.5">
      <c r="A24" s="140"/>
      <c r="B24" s="165"/>
      <c r="C24" s="162"/>
      <c r="D24" s="162"/>
      <c r="E24" s="162"/>
      <c r="F24" s="162"/>
      <c r="G24" s="162"/>
      <c r="H24" s="166"/>
      <c r="I24" s="140"/>
      <c r="J24" s="140"/>
      <c r="K24" s="140"/>
    </row>
    <row r="25" spans="1:11" ht="14.25" customHeight="1" x14ac:dyDescent="0.5">
      <c r="A25" s="140"/>
      <c r="B25" s="165"/>
      <c r="C25" s="162"/>
      <c r="D25" s="162"/>
      <c r="E25" s="162"/>
      <c r="F25" s="162"/>
      <c r="G25" s="162"/>
      <c r="H25" s="166"/>
      <c r="I25" s="140"/>
      <c r="J25" s="140"/>
      <c r="K25" s="140"/>
    </row>
    <row r="26" spans="1:11" ht="19.5" customHeight="1" x14ac:dyDescent="0.3">
      <c r="A26" s="140"/>
      <c r="B26" s="165"/>
      <c r="C26" s="217"/>
      <c r="D26" s="167"/>
      <c r="E26" s="167"/>
      <c r="F26" s="167"/>
      <c r="G26" s="167"/>
      <c r="H26" s="166"/>
      <c r="I26" s="140"/>
      <c r="J26" s="140"/>
      <c r="K26" s="140"/>
    </row>
    <row r="27" spans="1:11" ht="19.5" customHeight="1" thickBot="1" x14ac:dyDescent="0.35">
      <c r="A27" s="140"/>
      <c r="B27" s="168"/>
      <c r="C27" s="169"/>
      <c r="D27" s="169"/>
      <c r="E27" s="169"/>
      <c r="F27" s="169"/>
      <c r="G27" s="169"/>
      <c r="H27" s="170" t="s">
        <v>26</v>
      </c>
      <c r="I27" s="140"/>
      <c r="J27" s="140"/>
      <c r="K27" s="140"/>
    </row>
    <row r="28" spans="1:11" ht="19.5" customHeight="1" thickTop="1" x14ac:dyDescent="0.3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</row>
    <row r="29" spans="1:11" ht="19.5" customHeight="1" x14ac:dyDescent="0.3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</row>
    <row r="30" spans="1:11" ht="19.5" customHeight="1" x14ac:dyDescent="0.3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</row>
    <row r="31" spans="1:11" ht="13.5" customHeight="1" x14ac:dyDescent="0.3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</row>
    <row r="32" spans="1:11" ht="13.5" customHeight="1" x14ac:dyDescent="0.3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</row>
    <row r="33" spans="1:11" ht="13.5" customHeight="1" x14ac:dyDescent="0.3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</row>
    <row r="34" spans="1:11" ht="13.5" customHeight="1" x14ac:dyDescent="0.3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</row>
    <row r="35" spans="1:11" ht="13.5" customHeight="1" x14ac:dyDescent="0.3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</row>
    <row r="36" spans="1:11" ht="13.5" customHeight="1" x14ac:dyDescent="0.3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</row>
    <row r="37" spans="1:11" ht="13.5" customHeight="1" x14ac:dyDescent="0.3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</row>
    <row r="38" spans="1:11" ht="13.5" customHeight="1" x14ac:dyDescent="0.3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</row>
    <row r="39" spans="1:11" ht="13.5" customHeight="1" x14ac:dyDescent="0.3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</row>
    <row r="40" spans="1:11" ht="13.5" customHeight="1" x14ac:dyDescent="0.3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</row>
    <row r="41" spans="1:11" ht="13.5" customHeight="1" x14ac:dyDescent="0.3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</row>
  </sheetData>
  <mergeCells count="2">
    <mergeCell ref="B12:H12"/>
    <mergeCell ref="B14:H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E078-7872-4A29-AB60-2F51D99BEB6D}">
  <dimension ref="A1"/>
  <sheetViews>
    <sheetView showGridLines="0" workbookViewId="0">
      <selection activeCell="I12" sqref="I1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0C7A-C5BD-4A73-9F5F-B94D9E16D1EB}">
  <dimension ref="A1:R19"/>
  <sheetViews>
    <sheetView showGridLines="0" workbookViewId="0"/>
  </sheetViews>
  <sheetFormatPr defaultRowHeight="14.4" x14ac:dyDescent="0.3"/>
  <cols>
    <col min="1" max="1" width="22.6640625" customWidth="1"/>
    <col min="2" max="2" width="17.77734375" customWidth="1"/>
    <col min="8" max="9" width="14.21875" customWidth="1"/>
    <col min="12" max="12" width="12.109375" hidden="1" customWidth="1"/>
    <col min="13" max="13" width="9.109375" hidden="1" customWidth="1"/>
    <col min="14" max="14" width="19" hidden="1" customWidth="1"/>
  </cols>
  <sheetData>
    <row r="1" spans="1:18" s="48" customFormat="1" ht="18.600000000000001" customHeight="1" x14ac:dyDescent="0.4">
      <c r="A1" s="205" t="s">
        <v>13</v>
      </c>
      <c r="B1" s="205"/>
      <c r="C1" s="205"/>
      <c r="D1" s="205"/>
      <c r="E1" s="205"/>
      <c r="F1" s="205"/>
      <c r="G1" s="205"/>
      <c r="H1" s="205"/>
      <c r="I1"/>
      <c r="J1"/>
      <c r="K1"/>
      <c r="L1"/>
      <c r="M1"/>
      <c r="N1"/>
      <c r="O1"/>
      <c r="P1"/>
      <c r="Q1"/>
      <c r="R1"/>
    </row>
    <row r="2" spans="1:18" s="48" customFormat="1" ht="18.600000000000001" customHeight="1" x14ac:dyDescent="0.4">
      <c r="A2" s="205"/>
      <c r="B2" s="205"/>
      <c r="C2" s="205"/>
      <c r="D2" s="205"/>
      <c r="E2" s="205"/>
      <c r="F2" s="205"/>
      <c r="G2" s="205"/>
      <c r="H2" s="205"/>
      <c r="I2"/>
      <c r="J2"/>
      <c r="K2"/>
      <c r="L2"/>
      <c r="M2"/>
      <c r="N2"/>
      <c r="O2"/>
      <c r="P2"/>
      <c r="Q2"/>
      <c r="R2"/>
    </row>
    <row r="3" spans="1:18" s="48" customFormat="1" ht="18.600000000000001" customHeight="1" x14ac:dyDescent="0.4">
      <c r="A3" s="205"/>
      <c r="B3" s="205"/>
      <c r="C3" s="205"/>
      <c r="D3" s="205"/>
      <c r="E3" s="205"/>
      <c r="F3" s="205"/>
      <c r="G3" s="205"/>
      <c r="H3" s="205"/>
      <c r="I3"/>
      <c r="J3"/>
      <c r="K3"/>
      <c r="L3"/>
      <c r="M3"/>
      <c r="N3"/>
      <c r="O3"/>
      <c r="P3"/>
      <c r="Q3"/>
      <c r="R3"/>
    </row>
    <row r="4" spans="1:18" s="48" customFormat="1" ht="17.399999999999999" x14ac:dyDescent="0.3">
      <c r="A4" s="201" t="s">
        <v>12</v>
      </c>
      <c r="B4" s="201"/>
      <c r="C4" s="201"/>
      <c r="D4" s="201"/>
      <c r="E4" s="201"/>
      <c r="F4" s="201"/>
      <c r="G4" s="201"/>
      <c r="H4" s="201"/>
      <c r="I4"/>
      <c r="J4"/>
      <c r="K4"/>
      <c r="L4"/>
      <c r="M4"/>
      <c r="N4"/>
      <c r="O4"/>
      <c r="P4"/>
      <c r="Q4"/>
      <c r="R4"/>
    </row>
    <row r="5" spans="1:18" s="48" customFormat="1" x14ac:dyDescent="0.3">
      <c r="A5" s="202" t="str">
        <f>"Currency: "&amp;B12&amp;" | Units: "&amp;B13&amp;" | Version: "&amp;B16</f>
        <v>Currency: GBP | Units: £ actual | Version: v0.1</v>
      </c>
      <c r="B5" s="202"/>
      <c r="C5" s="202"/>
      <c r="D5" s="202"/>
      <c r="E5" s="202"/>
      <c r="F5" s="202"/>
      <c r="G5" s="202"/>
      <c r="H5" s="202"/>
      <c r="I5"/>
      <c r="J5"/>
      <c r="K5"/>
      <c r="L5"/>
      <c r="M5"/>
      <c r="N5"/>
      <c r="O5"/>
      <c r="P5"/>
      <c r="Q5"/>
      <c r="R5"/>
    </row>
    <row r="6" spans="1:18" x14ac:dyDescent="0.3">
      <c r="A6" s="97"/>
      <c r="B6" s="97"/>
      <c r="C6" s="97"/>
      <c r="D6" s="97"/>
      <c r="E6" s="97"/>
      <c r="F6" s="97"/>
      <c r="G6" s="97"/>
      <c r="H6" s="97"/>
    </row>
    <row r="7" spans="1:18" ht="15" thickBot="1" x14ac:dyDescent="0.35">
      <c r="A7" s="203" t="s">
        <v>5</v>
      </c>
      <c r="B7" s="204" t="s">
        <v>3</v>
      </c>
      <c r="C7" s="97"/>
      <c r="D7" s="97"/>
      <c r="E7" s="97"/>
      <c r="F7" s="97"/>
      <c r="G7" s="97"/>
      <c r="H7" s="97"/>
    </row>
    <row r="8" spans="1:18" x14ac:dyDescent="0.3">
      <c r="A8" s="49" t="s">
        <v>6</v>
      </c>
      <c r="B8" s="173">
        <v>44927</v>
      </c>
      <c r="C8" s="97"/>
      <c r="D8" s="97"/>
      <c r="E8" s="97"/>
      <c r="F8" s="97"/>
      <c r="G8" s="97"/>
      <c r="H8" s="97"/>
      <c r="I8" s="97"/>
      <c r="J8" s="97"/>
      <c r="K8" s="97"/>
      <c r="L8" s="174"/>
      <c r="M8" s="174"/>
      <c r="N8" s="174"/>
      <c r="O8" s="97"/>
      <c r="P8" s="97"/>
      <c r="Q8" s="97"/>
      <c r="R8" s="97"/>
    </row>
    <row r="9" spans="1:18" x14ac:dyDescent="0.3">
      <c r="A9" s="49" t="s">
        <v>7</v>
      </c>
      <c r="B9" s="173">
        <v>46203</v>
      </c>
      <c r="C9" s="97"/>
      <c r="D9" s="97"/>
      <c r="E9" s="97"/>
      <c r="F9" s="97"/>
      <c r="G9" s="97"/>
      <c r="H9" s="97"/>
      <c r="I9" s="97"/>
      <c r="J9" s="97"/>
      <c r="K9" s="97"/>
      <c r="L9" s="175" t="s">
        <v>41</v>
      </c>
      <c r="M9" s="175" t="s">
        <v>42</v>
      </c>
      <c r="N9" s="175" t="s">
        <v>43</v>
      </c>
      <c r="O9" s="97"/>
      <c r="P9" s="97"/>
      <c r="Q9" s="97"/>
      <c r="R9" s="97"/>
    </row>
    <row r="10" spans="1:18" x14ac:dyDescent="0.3">
      <c r="A10" s="49" t="s">
        <v>8</v>
      </c>
      <c r="B10" s="173">
        <v>46204</v>
      </c>
      <c r="C10" s="97"/>
      <c r="D10" s="97"/>
      <c r="E10" s="97"/>
      <c r="F10" s="97"/>
      <c r="G10" s="97"/>
      <c r="H10" s="97"/>
      <c r="I10" s="97"/>
      <c r="J10" s="97"/>
      <c r="K10" s="97"/>
      <c r="L10" s="176" t="s">
        <v>17</v>
      </c>
      <c r="M10" s="176" t="s">
        <v>15</v>
      </c>
      <c r="N10" s="176" t="s">
        <v>0</v>
      </c>
      <c r="O10" s="97"/>
      <c r="P10" s="97"/>
      <c r="Q10" s="97"/>
      <c r="R10" s="97"/>
    </row>
    <row r="11" spans="1:18" x14ac:dyDescent="0.3">
      <c r="A11" s="49" t="s">
        <v>9</v>
      </c>
      <c r="B11" s="173">
        <v>47453</v>
      </c>
      <c r="C11" s="97"/>
      <c r="D11" s="97"/>
      <c r="E11" s="97"/>
      <c r="F11" s="97"/>
      <c r="G11" s="172"/>
      <c r="H11" s="97"/>
      <c r="I11" s="97"/>
      <c r="J11" s="97"/>
      <c r="K11" s="97"/>
      <c r="L11" s="176" t="s">
        <v>44</v>
      </c>
      <c r="M11" s="177" t="s">
        <v>50</v>
      </c>
      <c r="N11" s="176" t="s">
        <v>45</v>
      </c>
      <c r="O11" s="97"/>
      <c r="P11" s="97"/>
      <c r="Q11" s="97"/>
      <c r="R11" s="97"/>
    </row>
    <row r="12" spans="1:18" x14ac:dyDescent="0.3">
      <c r="A12" s="49" t="s">
        <v>10</v>
      </c>
      <c r="B12" s="178" t="s">
        <v>11</v>
      </c>
      <c r="C12" s="97"/>
      <c r="D12" s="97"/>
      <c r="E12" s="97"/>
      <c r="F12" s="97"/>
      <c r="G12" s="97"/>
      <c r="H12" s="97"/>
      <c r="I12" s="97"/>
      <c r="J12" s="97"/>
      <c r="K12" s="97"/>
      <c r="L12" s="176" t="s">
        <v>46</v>
      </c>
      <c r="M12" s="176" t="s">
        <v>47</v>
      </c>
      <c r="N12" s="176" t="s">
        <v>48</v>
      </c>
      <c r="O12" s="97"/>
      <c r="P12" s="97"/>
      <c r="Q12" s="97"/>
      <c r="R12" s="97"/>
    </row>
    <row r="13" spans="1:18" x14ac:dyDescent="0.3">
      <c r="A13" s="49" t="s">
        <v>14</v>
      </c>
      <c r="B13" s="179" t="s">
        <v>15</v>
      </c>
      <c r="C13" s="97"/>
      <c r="D13" s="97"/>
      <c r="E13" s="97"/>
      <c r="F13" s="97"/>
      <c r="G13" s="97"/>
      <c r="H13" s="171"/>
      <c r="I13" s="171"/>
      <c r="J13" s="171"/>
      <c r="K13" s="97"/>
      <c r="L13" s="97"/>
      <c r="M13" s="97"/>
      <c r="N13" s="97"/>
      <c r="O13" s="97"/>
      <c r="P13" s="97"/>
      <c r="Q13" s="97"/>
      <c r="R13" s="97"/>
    </row>
    <row r="14" spans="1:18" x14ac:dyDescent="0.3">
      <c r="A14" s="49" t="s">
        <v>16</v>
      </c>
      <c r="B14" s="179" t="s">
        <v>17</v>
      </c>
      <c r="C14" s="97"/>
      <c r="D14" s="97"/>
      <c r="E14" s="97"/>
      <c r="F14" s="97"/>
      <c r="G14" s="97"/>
      <c r="H14" s="172"/>
      <c r="I14" s="172"/>
      <c r="J14" s="172"/>
      <c r="K14" s="97"/>
      <c r="L14" s="97"/>
      <c r="M14" s="97"/>
      <c r="N14" s="97"/>
      <c r="O14" s="97"/>
      <c r="P14" s="97"/>
      <c r="Q14" s="97"/>
      <c r="R14" s="97"/>
    </row>
    <row r="15" spans="1:18" x14ac:dyDescent="0.3">
      <c r="A15" s="49" t="s">
        <v>4</v>
      </c>
      <c r="B15" s="178" t="s">
        <v>0</v>
      </c>
      <c r="C15" s="97"/>
      <c r="D15" s="97"/>
      <c r="E15" s="97"/>
      <c r="F15" s="97"/>
      <c r="G15" s="97"/>
      <c r="H15" s="172"/>
      <c r="I15" s="172"/>
      <c r="J15" s="172"/>
      <c r="K15" s="97"/>
      <c r="L15" s="97"/>
      <c r="M15" s="97"/>
      <c r="N15" s="97"/>
      <c r="O15" s="97"/>
      <c r="P15" s="97"/>
      <c r="Q15" s="97"/>
      <c r="R15" s="97"/>
    </row>
    <row r="16" spans="1:18" x14ac:dyDescent="0.3">
      <c r="A16" s="49" t="s">
        <v>18</v>
      </c>
      <c r="B16" s="178" t="s">
        <v>19</v>
      </c>
      <c r="C16" s="97"/>
      <c r="D16" s="172"/>
      <c r="E16" s="172"/>
      <c r="F16" s="172"/>
      <c r="G16" s="172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</row>
    <row r="17" spans="1:18" x14ac:dyDescent="0.3">
      <c r="A17" s="49" t="s">
        <v>20</v>
      </c>
      <c r="B17" s="180">
        <f ca="1">TODAY()</f>
        <v>46204</v>
      </c>
      <c r="C17" s="97"/>
      <c r="D17" s="172"/>
      <c r="E17" s="172"/>
      <c r="F17" s="172"/>
      <c r="G17" s="172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</row>
    <row r="18" spans="1:18" x14ac:dyDescent="0.3">
      <c r="A18" s="50" t="s">
        <v>49</v>
      </c>
      <c r="B18" s="181" cm="1">
        <f t="array" ref="B18">_xlfn.SWITCH(B13,"£ actual",1,"£000",1000,"£m",1000000,1)</f>
        <v>1</v>
      </c>
      <c r="C18" s="97"/>
      <c r="D18" s="172"/>
      <c r="E18" s="172"/>
      <c r="F18" s="172"/>
      <c r="G18" s="172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</row>
    <row r="19" spans="1:18" x14ac:dyDescent="0.3">
      <c r="D19" s="1"/>
      <c r="E19" s="1"/>
      <c r="F19" s="1"/>
      <c r="G19" s="1"/>
    </row>
  </sheetData>
  <dataValidations count="3">
    <dataValidation type="list" allowBlank="1" showInputMessage="1" showErrorMessage="1" sqref="B14" xr:uid="{1733F177-4F98-4AEE-A201-166EB4344AB7}">
      <formula1>$L$10:$L$12</formula1>
    </dataValidation>
    <dataValidation type="list" allowBlank="1" showInputMessage="1" showErrorMessage="1" sqref="B13" xr:uid="{2FAE6A5B-E493-4965-A3CA-206A030445B0}">
      <formula1>$M$10:$M$12</formula1>
    </dataValidation>
    <dataValidation type="list" allowBlank="1" showInputMessage="1" showErrorMessage="1" sqref="B15" xr:uid="{9C9C0216-C340-436A-A7FF-FEFB08C8F627}">
      <formula1>$N$10:$N$12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C816-77D2-4480-9A85-4F82F03A7810}">
  <dimension ref="A1:F10"/>
  <sheetViews>
    <sheetView showGridLines="0" workbookViewId="0">
      <selection activeCell="C16" sqref="C16"/>
    </sheetView>
  </sheetViews>
  <sheetFormatPr defaultRowHeight="14.4" x14ac:dyDescent="0.3"/>
  <cols>
    <col min="1" max="1" width="22.21875" customWidth="1"/>
    <col min="2" max="2" width="42.5546875" customWidth="1"/>
    <col min="3" max="3" width="35.21875" customWidth="1"/>
    <col min="4" max="5" width="20.33203125" customWidth="1"/>
    <col min="6" max="6" width="40.77734375" customWidth="1"/>
  </cols>
  <sheetData>
    <row r="1" spans="1:6" ht="21" x14ac:dyDescent="0.4">
      <c r="A1" s="211" t="s">
        <v>241</v>
      </c>
      <c r="B1" s="211"/>
      <c r="C1" s="211"/>
      <c r="D1" s="211"/>
      <c r="E1" s="211"/>
      <c r="F1" s="211"/>
    </row>
    <row r="2" spans="1:6" x14ac:dyDescent="0.3">
      <c r="A2" s="130" t="s">
        <v>242</v>
      </c>
      <c r="B2" s="130"/>
      <c r="C2" s="130"/>
      <c r="D2" s="130"/>
      <c r="E2" s="130"/>
      <c r="F2" s="130"/>
    </row>
    <row r="3" spans="1:6" x14ac:dyDescent="0.3">
      <c r="A3" s="212" t="s">
        <v>51</v>
      </c>
      <c r="B3" s="212" t="s">
        <v>52</v>
      </c>
      <c r="C3" s="212" t="s">
        <v>53</v>
      </c>
      <c r="D3" s="212" t="s">
        <v>54</v>
      </c>
      <c r="E3" s="212" t="s">
        <v>55</v>
      </c>
      <c r="F3" s="212" t="s">
        <v>40</v>
      </c>
    </row>
    <row r="4" spans="1:6" x14ac:dyDescent="0.3">
      <c r="A4" s="51" t="s">
        <v>56</v>
      </c>
      <c r="B4" s="51" t="s">
        <v>57</v>
      </c>
      <c r="C4" s="51" t="s">
        <v>58</v>
      </c>
      <c r="D4" s="51" t="s">
        <v>59</v>
      </c>
      <c r="E4" s="52" t="s">
        <v>142</v>
      </c>
      <c r="F4" s="51" t="s">
        <v>60</v>
      </c>
    </row>
    <row r="5" spans="1:6" x14ac:dyDescent="0.3">
      <c r="A5" s="53" t="s">
        <v>61</v>
      </c>
      <c r="B5" s="53" t="s">
        <v>62</v>
      </c>
      <c r="C5" s="53" t="s">
        <v>63</v>
      </c>
      <c r="D5" s="53" t="s">
        <v>59</v>
      </c>
      <c r="E5" s="52" t="s">
        <v>142</v>
      </c>
      <c r="F5" s="53" t="s">
        <v>64</v>
      </c>
    </row>
    <row r="6" spans="1:6" x14ac:dyDescent="0.3">
      <c r="A6" s="51" t="s">
        <v>33</v>
      </c>
      <c r="B6" s="51" t="s">
        <v>65</v>
      </c>
      <c r="C6" s="51" t="s">
        <v>66</v>
      </c>
      <c r="D6" s="51" t="s">
        <v>59</v>
      </c>
      <c r="E6" s="52" t="s">
        <v>142</v>
      </c>
      <c r="F6" s="51" t="s">
        <v>67</v>
      </c>
    </row>
    <row r="7" spans="1:6" x14ac:dyDescent="0.3">
      <c r="A7" s="53" t="s">
        <v>68</v>
      </c>
      <c r="B7" s="53" t="s">
        <v>69</v>
      </c>
      <c r="C7" s="53" t="s">
        <v>70</v>
      </c>
      <c r="D7" s="53" t="s">
        <v>59</v>
      </c>
      <c r="E7" s="52" t="s">
        <v>142</v>
      </c>
      <c r="F7" s="53" t="s">
        <v>71</v>
      </c>
    </row>
    <row r="8" spans="1:6" x14ac:dyDescent="0.3">
      <c r="A8" s="51" t="s">
        <v>72</v>
      </c>
      <c r="B8" s="51" t="s">
        <v>73</v>
      </c>
      <c r="C8" s="51" t="s">
        <v>74</v>
      </c>
      <c r="D8" s="51" t="s">
        <v>59</v>
      </c>
      <c r="E8" s="52" t="s">
        <v>142</v>
      </c>
      <c r="F8" s="51" t="s">
        <v>75</v>
      </c>
    </row>
    <row r="9" spans="1:6" x14ac:dyDescent="0.3">
      <c r="A9" s="53" t="s">
        <v>76</v>
      </c>
      <c r="B9" s="53" t="s">
        <v>77</v>
      </c>
      <c r="C9" s="53" t="s">
        <v>78</v>
      </c>
      <c r="D9" s="53" t="s">
        <v>59</v>
      </c>
      <c r="E9" s="52" t="s">
        <v>142</v>
      </c>
      <c r="F9" s="53" t="s">
        <v>79</v>
      </c>
    </row>
    <row r="10" spans="1:6" x14ac:dyDescent="0.3">
      <c r="A10" s="51" t="s">
        <v>80</v>
      </c>
      <c r="B10" s="51" t="s">
        <v>81</v>
      </c>
      <c r="C10" s="51" t="s">
        <v>82</v>
      </c>
      <c r="D10" s="51" t="s">
        <v>59</v>
      </c>
      <c r="E10" s="52" t="s">
        <v>142</v>
      </c>
      <c r="F10" s="51" t="s">
        <v>83</v>
      </c>
    </row>
  </sheetData>
  <mergeCells count="2">
    <mergeCell ref="A1:F1"/>
    <mergeCell ref="A2:F2"/>
  </mergeCells>
  <conditionalFormatting sqref="E4:E10">
    <cfRule type="expression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2D1A-0785-4BAF-A6ED-A8496C8E28EB}">
  <dimension ref="A1:BH43"/>
  <sheetViews>
    <sheetView showGridLines="0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22.77734375" style="12" bestFit="1" customWidth="1"/>
    <col min="2" max="2" width="13.5546875" style="12" bestFit="1" customWidth="1"/>
    <col min="3" max="3" width="31.77734375" style="12" bestFit="1" customWidth="1"/>
    <col min="4" max="4" width="30.44140625" style="12" bestFit="1" customWidth="1"/>
    <col min="5" max="5" width="20.5546875" style="12" bestFit="1" customWidth="1"/>
    <col min="6" max="6" width="38.33203125" style="12" bestFit="1" customWidth="1"/>
    <col min="7" max="7" width="23.5546875" style="12" bestFit="1" customWidth="1"/>
    <col min="8" max="8" width="37.33203125" style="12" bestFit="1" customWidth="1"/>
    <col min="9" max="9" width="31.21875" style="12" bestFit="1" customWidth="1"/>
    <col min="10" max="10" width="31.5546875" style="12" bestFit="1" customWidth="1"/>
    <col min="11" max="11" width="35.44140625" style="12" bestFit="1" customWidth="1"/>
    <col min="12" max="12" width="33" style="12" bestFit="1" customWidth="1"/>
    <col min="13" max="13" width="30.5546875" style="12" bestFit="1" customWidth="1"/>
    <col min="14" max="14" width="38.33203125" style="12" bestFit="1" customWidth="1"/>
    <col min="15" max="15" width="32.21875" style="12" bestFit="1" customWidth="1"/>
    <col min="16" max="16" width="23.21875" style="12" bestFit="1" customWidth="1"/>
    <col min="17" max="17" width="24.33203125" style="12" bestFit="1" customWidth="1"/>
    <col min="18" max="18" width="22.21875" style="12" bestFit="1" customWidth="1"/>
    <col min="19" max="19" width="25.109375" style="12" bestFit="1" customWidth="1"/>
    <col min="20" max="20" width="17.21875" style="12" bestFit="1" customWidth="1"/>
    <col min="21" max="21" width="18.77734375" style="12" bestFit="1" customWidth="1"/>
    <col min="22" max="22" width="17.88671875" style="12" bestFit="1" customWidth="1"/>
    <col min="23" max="23" width="22.21875" style="12" bestFit="1" customWidth="1"/>
    <col min="24" max="24" width="24" style="12" bestFit="1" customWidth="1"/>
    <col min="25" max="25" width="19.44140625" style="12" bestFit="1" customWidth="1"/>
    <col min="26" max="26" width="24.6640625" style="12" bestFit="1" customWidth="1"/>
    <col min="27" max="27" width="24.88671875" style="12" bestFit="1" customWidth="1"/>
    <col min="28" max="28" width="17.77734375" style="12" bestFit="1" customWidth="1"/>
    <col min="29" max="29" width="38.21875" style="12" bestFit="1" customWidth="1"/>
    <col min="30" max="30" width="25.6640625" style="12" bestFit="1" customWidth="1"/>
    <col min="31" max="31" width="19.33203125" style="12" bestFit="1" customWidth="1"/>
    <col min="32" max="32" width="23.21875" style="12" bestFit="1" customWidth="1"/>
    <col min="33" max="33" width="19.6640625" style="12" bestFit="1" customWidth="1"/>
    <col min="34" max="34" width="20.6640625" style="12" bestFit="1" customWidth="1"/>
    <col min="35" max="35" width="15.5546875" style="12" bestFit="1" customWidth="1"/>
    <col min="36" max="36" width="18.77734375" style="12" bestFit="1" customWidth="1"/>
    <col min="37" max="37" width="33.21875" style="12" bestFit="1" customWidth="1"/>
    <col min="38" max="38" width="18.21875" style="12" bestFit="1" customWidth="1"/>
    <col min="39" max="39" width="24" style="12" bestFit="1" customWidth="1"/>
    <col min="40" max="40" width="33.5546875" style="12" bestFit="1" customWidth="1"/>
    <col min="41" max="41" width="30.77734375" style="12" bestFit="1" customWidth="1"/>
    <col min="42" max="42" width="25.77734375" style="12" bestFit="1" customWidth="1"/>
    <col min="43" max="43" width="22.109375" style="12" bestFit="1" customWidth="1"/>
    <col min="44" max="44" width="29.88671875" style="12" bestFit="1" customWidth="1"/>
    <col min="45" max="45" width="28" style="12" bestFit="1" customWidth="1"/>
    <col min="46" max="46" width="17.21875" style="12" bestFit="1" customWidth="1"/>
    <col min="47" max="47" width="20.5546875" style="12" bestFit="1" customWidth="1"/>
    <col min="48" max="48" width="30" style="12" bestFit="1" customWidth="1"/>
    <col min="49" max="49" width="30.5546875" style="12" bestFit="1" customWidth="1"/>
    <col min="50" max="50" width="27.88671875" style="12" bestFit="1" customWidth="1"/>
    <col min="51" max="51" width="24.88671875" style="12" bestFit="1" customWidth="1"/>
    <col min="52" max="52" width="28.21875" style="12" bestFit="1" customWidth="1"/>
    <col min="53" max="53" width="23.5546875" style="12" bestFit="1" customWidth="1"/>
    <col min="54" max="54" width="13.5546875" style="12" bestFit="1" customWidth="1"/>
    <col min="55" max="55" width="37.6640625" style="12" bestFit="1" customWidth="1"/>
    <col min="56" max="56" width="34.5546875" style="12" bestFit="1" customWidth="1"/>
    <col min="57" max="57" width="30.109375" style="12" bestFit="1" customWidth="1"/>
    <col min="58" max="58" width="25.5546875" style="12" customWidth="1"/>
    <col min="59" max="59" width="27.44140625" style="12" customWidth="1"/>
    <col min="60" max="60" width="28.5546875" style="12" customWidth="1"/>
    <col min="61" max="61" width="22.44140625" style="12" bestFit="1" customWidth="1"/>
    <col min="62" max="62" width="13.109375" style="12" bestFit="1" customWidth="1"/>
    <col min="63" max="16384" width="8.88671875" style="12"/>
  </cols>
  <sheetData>
    <row r="1" spans="1:60" s="66" customFormat="1" ht="28.2" customHeight="1" x14ac:dyDescent="0.3">
      <c r="A1" s="67" t="s">
        <v>84</v>
      </c>
      <c r="B1" s="67" t="s">
        <v>85</v>
      </c>
      <c r="C1" s="67" t="s">
        <v>86</v>
      </c>
      <c r="D1" s="67" t="s">
        <v>87</v>
      </c>
      <c r="E1" s="67" t="s">
        <v>111</v>
      </c>
      <c r="F1" s="67" t="s">
        <v>112</v>
      </c>
      <c r="G1" s="67" t="s">
        <v>113</v>
      </c>
      <c r="H1" s="67" t="s">
        <v>177</v>
      </c>
      <c r="I1" s="67" t="s">
        <v>178</v>
      </c>
      <c r="J1" s="67" t="s">
        <v>88</v>
      </c>
      <c r="K1" s="67" t="s">
        <v>89</v>
      </c>
      <c r="L1" s="67" t="s">
        <v>90</v>
      </c>
      <c r="M1" s="67" t="s">
        <v>91</v>
      </c>
      <c r="N1" s="67" t="s">
        <v>179</v>
      </c>
      <c r="O1" s="67" t="s">
        <v>180</v>
      </c>
      <c r="P1" s="67" t="s">
        <v>92</v>
      </c>
      <c r="Q1" s="67" t="s">
        <v>93</v>
      </c>
      <c r="R1" s="67" t="s">
        <v>94</v>
      </c>
      <c r="S1" s="67" t="s">
        <v>95</v>
      </c>
      <c r="T1" s="67" t="s">
        <v>96</v>
      </c>
      <c r="U1" s="67" t="s">
        <v>181</v>
      </c>
      <c r="V1" s="67" t="s">
        <v>97</v>
      </c>
      <c r="W1" s="67" t="s">
        <v>98</v>
      </c>
      <c r="X1" s="67" t="s">
        <v>99</v>
      </c>
      <c r="Y1" s="67" t="s">
        <v>100</v>
      </c>
      <c r="Z1" s="67" t="s">
        <v>101</v>
      </c>
      <c r="AA1" s="67" t="s">
        <v>102</v>
      </c>
      <c r="AB1" s="67" t="s">
        <v>103</v>
      </c>
      <c r="AC1" s="67" t="s">
        <v>104</v>
      </c>
      <c r="AD1" s="67" t="s">
        <v>182</v>
      </c>
      <c r="AE1" s="67" t="s">
        <v>105</v>
      </c>
      <c r="AF1" s="67" t="s">
        <v>106</v>
      </c>
      <c r="AG1" s="67" t="s">
        <v>107</v>
      </c>
      <c r="AH1" s="67" t="s">
        <v>108</v>
      </c>
      <c r="AI1" s="67" t="s">
        <v>109</v>
      </c>
      <c r="AJ1" s="67" t="s">
        <v>110</v>
      </c>
      <c r="AK1" s="67" t="s">
        <v>146</v>
      </c>
      <c r="AL1" s="67" t="s">
        <v>147</v>
      </c>
      <c r="AM1" s="67" t="s">
        <v>183</v>
      </c>
      <c r="AN1" s="67" t="s">
        <v>114</v>
      </c>
      <c r="AO1" s="67" t="s">
        <v>115</v>
      </c>
      <c r="AP1" s="67" t="s">
        <v>116</v>
      </c>
      <c r="AQ1" s="67" t="s">
        <v>117</v>
      </c>
      <c r="AR1" s="67" t="s">
        <v>118</v>
      </c>
      <c r="AS1" s="67" t="s">
        <v>119</v>
      </c>
      <c r="AT1" s="67" t="s">
        <v>120</v>
      </c>
      <c r="AU1" s="67" t="s">
        <v>121</v>
      </c>
      <c r="AV1" s="67" t="s">
        <v>184</v>
      </c>
      <c r="AW1" s="67" t="s">
        <v>122</v>
      </c>
      <c r="AX1" s="67" t="s">
        <v>123</v>
      </c>
      <c r="AY1" s="67" t="s">
        <v>124</v>
      </c>
      <c r="AZ1" s="67" t="s">
        <v>125</v>
      </c>
      <c r="BA1" s="67" t="s">
        <v>126</v>
      </c>
      <c r="BB1" s="67" t="s">
        <v>127</v>
      </c>
      <c r="BC1" s="67" t="s">
        <v>148</v>
      </c>
      <c r="BD1" s="67" t="s">
        <v>149</v>
      </c>
      <c r="BE1" s="67" t="s">
        <v>150</v>
      </c>
      <c r="BF1" s="67" t="s">
        <v>151</v>
      </c>
      <c r="BG1" s="67" t="s">
        <v>152</v>
      </c>
      <c r="BH1" s="67" t="s">
        <v>153</v>
      </c>
    </row>
    <row r="2" spans="1:60" x14ac:dyDescent="0.3">
      <c r="A2" s="54">
        <v>44927</v>
      </c>
      <c r="B2" s="55">
        <v>4257902.3600000003</v>
      </c>
      <c r="C2" s="55">
        <v>1466626.4300000002</v>
      </c>
      <c r="D2" s="55">
        <v>1466626.4300000002</v>
      </c>
      <c r="E2" s="55">
        <v>3771182.2599999988</v>
      </c>
      <c r="F2" s="55">
        <v>1066716.1599999999</v>
      </c>
      <c r="G2" s="55">
        <v>1073080.8399999999</v>
      </c>
      <c r="H2" s="55">
        <v>-579996.0599999968</v>
      </c>
      <c r="I2" s="56" t="s">
        <v>185</v>
      </c>
      <c r="J2" s="55">
        <v>-2902.5</v>
      </c>
      <c r="K2" s="55">
        <v>4257902.3600000003</v>
      </c>
      <c r="L2" s="55">
        <v>1466626.43</v>
      </c>
      <c r="M2" s="55">
        <v>2788373.4299999997</v>
      </c>
      <c r="N2" s="55">
        <v>0</v>
      </c>
      <c r="O2" s="56" t="s">
        <v>186</v>
      </c>
      <c r="P2" s="55">
        <v>291150.19</v>
      </c>
      <c r="Q2" s="55">
        <v>2972.29</v>
      </c>
      <c r="R2" s="55">
        <v>0</v>
      </c>
      <c r="S2" s="55">
        <v>0</v>
      </c>
      <c r="T2" s="57">
        <v>0</v>
      </c>
      <c r="U2" s="56" t="s">
        <v>186</v>
      </c>
      <c r="V2" s="55">
        <v>4641129.1000000006</v>
      </c>
      <c r="W2" s="55">
        <v>3456488.9300000006</v>
      </c>
      <c r="X2" s="55">
        <v>429099.94</v>
      </c>
      <c r="Y2" s="55">
        <v>343681.92</v>
      </c>
      <c r="Z2" s="55">
        <v>411858.31</v>
      </c>
      <c r="AA2" s="58">
        <v>452</v>
      </c>
      <c r="AB2" s="58">
        <v>452</v>
      </c>
      <c r="AC2" s="55">
        <v>10267.984734513275</v>
      </c>
      <c r="AD2" s="56" t="s">
        <v>187</v>
      </c>
      <c r="AE2" s="55">
        <v>43815823.080000006</v>
      </c>
      <c r="AF2" s="55">
        <v>1121206</v>
      </c>
      <c r="AG2" s="55">
        <v>31446.480000000003</v>
      </c>
      <c r="AH2" s="55">
        <v>7035</v>
      </c>
      <c r="AI2" s="55">
        <v>19440</v>
      </c>
      <c r="AJ2" s="55">
        <v>1126278.6399999999</v>
      </c>
      <c r="AK2" s="55">
        <v>3744791.8099999996</v>
      </c>
      <c r="AL2" s="55">
        <v>44911761.720000021</v>
      </c>
      <c r="AM2" s="56" t="s">
        <v>187</v>
      </c>
      <c r="AN2" s="58">
        <v>2273</v>
      </c>
      <c r="AO2" s="58">
        <v>2322</v>
      </c>
      <c r="AP2" s="58">
        <v>1</v>
      </c>
      <c r="AQ2" s="58">
        <v>55</v>
      </c>
      <c r="AR2" s="59">
        <v>0.9995258836068861</v>
      </c>
      <c r="AS2" s="59">
        <v>1.0001134905075484</v>
      </c>
      <c r="AT2" s="59">
        <v>4.399472063352398E-4</v>
      </c>
      <c r="AU2" s="59">
        <v>2.4197096348438186E-2</v>
      </c>
      <c r="AV2" s="56" t="s">
        <v>187</v>
      </c>
      <c r="AW2" s="55">
        <v>4932279.290000001</v>
      </c>
      <c r="AX2" s="55">
        <v>-3465652.8600000008</v>
      </c>
      <c r="AY2" s="59">
        <v>-2.3630099588482123</v>
      </c>
      <c r="AZ2" s="55">
        <v>3244.7487389380535</v>
      </c>
      <c r="BA2" s="59">
        <v>2.5704838134470571E-2</v>
      </c>
      <c r="BB2" s="56" t="s">
        <v>128</v>
      </c>
      <c r="BC2" s="55">
        <v>3742646.8100000019</v>
      </c>
      <c r="BD2" s="55">
        <v>2144.9999999976717</v>
      </c>
      <c r="BE2" s="55">
        <v>44942101.720000006</v>
      </c>
      <c r="BF2" s="55">
        <v>-30339.999999985099</v>
      </c>
      <c r="BG2" s="56" t="s">
        <v>154</v>
      </c>
      <c r="BH2" s="56" t="s">
        <v>155</v>
      </c>
    </row>
    <row r="3" spans="1:60" x14ac:dyDescent="0.3">
      <c r="A3" s="54">
        <v>44958</v>
      </c>
      <c r="B3" s="55">
        <v>3516657.2899999996</v>
      </c>
      <c r="C3" s="55">
        <v>1641714.9400000002</v>
      </c>
      <c r="D3" s="55">
        <v>1641714.9400000002</v>
      </c>
      <c r="E3" s="55">
        <v>3312454.6799999969</v>
      </c>
      <c r="F3" s="55">
        <v>565960.16</v>
      </c>
      <c r="G3" s="55">
        <v>584121.34999999974</v>
      </c>
      <c r="H3" s="55">
        <v>-361757.54999999842</v>
      </c>
      <c r="I3" s="56" t="s">
        <v>188</v>
      </c>
      <c r="J3" s="55">
        <v>2788373.43</v>
      </c>
      <c r="K3" s="55">
        <v>3516657.29</v>
      </c>
      <c r="L3" s="55">
        <v>1641714.94</v>
      </c>
      <c r="M3" s="55">
        <v>4663315.78</v>
      </c>
      <c r="N3" s="55">
        <v>0</v>
      </c>
      <c r="O3" s="56" t="s">
        <v>186</v>
      </c>
      <c r="P3" s="55">
        <v>658218.22</v>
      </c>
      <c r="Q3" s="55">
        <v>144978.51999999999</v>
      </c>
      <c r="R3" s="55">
        <v>0</v>
      </c>
      <c r="S3" s="55">
        <v>0</v>
      </c>
      <c r="T3" s="57">
        <v>0</v>
      </c>
      <c r="U3" s="56" t="s">
        <v>186</v>
      </c>
      <c r="V3" s="55">
        <v>4731102.6499999994</v>
      </c>
      <c r="W3" s="55">
        <v>3523093.2699999996</v>
      </c>
      <c r="X3" s="55">
        <v>436666.36</v>
      </c>
      <c r="Y3" s="55">
        <v>350456.62999999995</v>
      </c>
      <c r="Z3" s="55">
        <v>420886.38999999996</v>
      </c>
      <c r="AA3" s="58">
        <v>461</v>
      </c>
      <c r="AB3" s="58">
        <v>461</v>
      </c>
      <c r="AC3" s="55">
        <v>10262.695553145335</v>
      </c>
      <c r="AD3" s="56" t="s">
        <v>187</v>
      </c>
      <c r="AE3" s="55">
        <v>44942101.720000014</v>
      </c>
      <c r="AF3" s="55">
        <v>1009401</v>
      </c>
      <c r="AG3" s="55">
        <v>34172.799999999996</v>
      </c>
      <c r="AH3" s="55">
        <v>10911</v>
      </c>
      <c r="AI3" s="55">
        <v>28800</v>
      </c>
      <c r="AJ3" s="55">
        <v>1003862.96</v>
      </c>
      <c r="AK3" s="55">
        <v>3828430.3899999969</v>
      </c>
      <c r="AL3" s="55">
        <v>45915624.680000015</v>
      </c>
      <c r="AM3" s="56" t="s">
        <v>187</v>
      </c>
      <c r="AN3" s="58">
        <v>2328</v>
      </c>
      <c r="AO3" s="58">
        <v>2377</v>
      </c>
      <c r="AP3" s="58">
        <v>2</v>
      </c>
      <c r="AQ3" s="58">
        <v>57</v>
      </c>
      <c r="AR3" s="59">
        <v>0.99924324233406125</v>
      </c>
      <c r="AS3" s="59">
        <v>0.99987678635871302</v>
      </c>
      <c r="AT3" s="59">
        <v>8.5910652920962198E-4</v>
      </c>
      <c r="AU3" s="59">
        <v>2.4484536082474227E-2</v>
      </c>
      <c r="AV3" s="56" t="s">
        <v>187</v>
      </c>
      <c r="AW3" s="55">
        <v>5389320.8699999992</v>
      </c>
      <c r="AX3" s="55">
        <v>-3747605.9299999988</v>
      </c>
      <c r="AY3" s="59">
        <v>-2.2827385185396425</v>
      </c>
      <c r="AZ3" s="55">
        <v>3561.203774403471</v>
      </c>
      <c r="BA3" s="59">
        <v>2.2336804946379789E-2</v>
      </c>
      <c r="BB3" s="56" t="s">
        <v>128</v>
      </c>
      <c r="BC3" s="55">
        <v>3826302.056666668</v>
      </c>
      <c r="BD3" s="55">
        <v>2128.3333333288319</v>
      </c>
      <c r="BE3" s="55">
        <v>45945964.680000015</v>
      </c>
      <c r="BF3" s="55">
        <v>-30340</v>
      </c>
      <c r="BG3" s="56" t="s">
        <v>154</v>
      </c>
      <c r="BH3" s="56" t="s">
        <v>155</v>
      </c>
    </row>
    <row r="4" spans="1:60" x14ac:dyDescent="0.3">
      <c r="A4" s="54">
        <v>44986</v>
      </c>
      <c r="B4" s="55">
        <v>3468525.1400000015</v>
      </c>
      <c r="C4" s="55">
        <v>1917718.6300000008</v>
      </c>
      <c r="D4" s="55">
        <v>1917718.6300000008</v>
      </c>
      <c r="E4" s="55">
        <v>3172057.87</v>
      </c>
      <c r="F4" s="55">
        <v>730877.69999999949</v>
      </c>
      <c r="G4" s="55">
        <v>740587.58999999962</v>
      </c>
      <c r="H4" s="55">
        <v>-434410.42999999784</v>
      </c>
      <c r="I4" s="56" t="s">
        <v>185</v>
      </c>
      <c r="J4" s="55">
        <v>4663315.7799999993</v>
      </c>
      <c r="K4" s="55">
        <v>3468525.1399999997</v>
      </c>
      <c r="L4" s="55">
        <v>1917718.63</v>
      </c>
      <c r="M4" s="55">
        <v>6214122.29</v>
      </c>
      <c r="N4" s="55">
        <v>0</v>
      </c>
      <c r="O4" s="56" t="s">
        <v>186</v>
      </c>
      <c r="P4" s="55">
        <v>560331.14999999991</v>
      </c>
      <c r="Q4" s="55">
        <v>806474.41</v>
      </c>
      <c r="R4" s="55">
        <v>0</v>
      </c>
      <c r="S4" s="55">
        <v>0</v>
      </c>
      <c r="T4" s="57">
        <v>0</v>
      </c>
      <c r="U4" s="56" t="s">
        <v>186</v>
      </c>
      <c r="V4" s="55">
        <v>4807431.4200000009</v>
      </c>
      <c r="W4" s="55">
        <v>3581160.72</v>
      </c>
      <c r="X4" s="55">
        <v>444946.57999999996</v>
      </c>
      <c r="Y4" s="55">
        <v>355514.93999999994</v>
      </c>
      <c r="Z4" s="55">
        <v>425809.18</v>
      </c>
      <c r="AA4" s="58">
        <v>476</v>
      </c>
      <c r="AB4" s="58">
        <v>476</v>
      </c>
      <c r="AC4" s="55">
        <v>10099.645840336136</v>
      </c>
      <c r="AD4" s="56" t="s">
        <v>187</v>
      </c>
      <c r="AE4" s="55">
        <v>45945964.679999985</v>
      </c>
      <c r="AF4" s="55">
        <v>1217219</v>
      </c>
      <c r="AG4" s="55">
        <v>18291.36</v>
      </c>
      <c r="AH4" s="55">
        <v>0</v>
      </c>
      <c r="AI4" s="55">
        <v>24468</v>
      </c>
      <c r="AJ4" s="55">
        <v>1211241.0399999996</v>
      </c>
      <c r="AK4" s="55">
        <v>3929333.8099999991</v>
      </c>
      <c r="AL4" s="55">
        <v>47126865.719999991</v>
      </c>
      <c r="AM4" s="56" t="s">
        <v>187</v>
      </c>
      <c r="AN4" s="58">
        <v>2383</v>
      </c>
      <c r="AO4" s="58">
        <v>2436</v>
      </c>
      <c r="AP4" s="58">
        <v>2</v>
      </c>
      <c r="AQ4" s="58">
        <v>61</v>
      </c>
      <c r="AR4" s="59">
        <v>0.99959152016655406</v>
      </c>
      <c r="AS4" s="59">
        <v>0.99986556730187259</v>
      </c>
      <c r="AT4" s="59">
        <v>8.3927822073017204E-4</v>
      </c>
      <c r="AU4" s="59">
        <v>2.5597985732270248E-2</v>
      </c>
      <c r="AV4" s="56" t="s">
        <v>187</v>
      </c>
      <c r="AW4" s="55">
        <v>5367762.57</v>
      </c>
      <c r="AX4" s="55">
        <v>-3450043.9399999995</v>
      </c>
      <c r="AY4" s="59">
        <v>-1.7990355237879698</v>
      </c>
      <c r="AZ4" s="55">
        <v>4028.8206512605061</v>
      </c>
      <c r="BA4" s="59">
        <v>2.6362294239242426E-2</v>
      </c>
      <c r="BB4" s="56" t="s">
        <v>128</v>
      </c>
      <c r="BC4" s="55">
        <v>3927238.8099999991</v>
      </c>
      <c r="BD4" s="55">
        <v>2095</v>
      </c>
      <c r="BE4" s="55">
        <v>47157205.719999984</v>
      </c>
      <c r="BF4" s="55">
        <v>-30339.999999992549</v>
      </c>
      <c r="BG4" s="56" t="s">
        <v>154</v>
      </c>
      <c r="BH4" s="56" t="s">
        <v>155</v>
      </c>
    </row>
    <row r="5" spans="1:60" x14ac:dyDescent="0.3">
      <c r="A5" s="54">
        <v>45017</v>
      </c>
      <c r="B5" s="55">
        <v>3871963.4599999976</v>
      </c>
      <c r="C5" s="55">
        <v>2122884.7000000039</v>
      </c>
      <c r="D5" s="55">
        <v>2122884.7000000039</v>
      </c>
      <c r="E5" s="55">
        <v>3613516.5499999993</v>
      </c>
      <c r="F5" s="55">
        <v>712640.91999999981</v>
      </c>
      <c r="G5" s="55">
        <v>720385.8</v>
      </c>
      <c r="H5" s="55">
        <v>-454194.00999999931</v>
      </c>
      <c r="I5" s="56" t="s">
        <v>185</v>
      </c>
      <c r="J5" s="55">
        <v>6214122.29</v>
      </c>
      <c r="K5" s="55">
        <v>3871963.4600000004</v>
      </c>
      <c r="L5" s="55">
        <v>2122884.6999999997</v>
      </c>
      <c r="M5" s="55">
        <v>7963201.0499999998</v>
      </c>
      <c r="N5" s="55">
        <v>0</v>
      </c>
      <c r="O5" s="56" t="s">
        <v>186</v>
      </c>
      <c r="P5" s="55">
        <v>755499.01</v>
      </c>
      <c r="Q5" s="55">
        <v>446431.70000000007</v>
      </c>
      <c r="R5" s="55">
        <v>0</v>
      </c>
      <c r="S5" s="55">
        <v>0</v>
      </c>
      <c r="T5" s="57">
        <v>0</v>
      </c>
      <c r="U5" s="56" t="s">
        <v>186</v>
      </c>
      <c r="V5" s="55">
        <v>4868707.2100000009</v>
      </c>
      <c r="W5" s="55">
        <v>3627959.5600000005</v>
      </c>
      <c r="X5" s="55">
        <v>450272.74000000011</v>
      </c>
      <c r="Y5" s="55">
        <v>360066.75</v>
      </c>
      <c r="Z5" s="55">
        <v>430408.16</v>
      </c>
      <c r="AA5" s="58">
        <v>487</v>
      </c>
      <c r="AB5" s="58">
        <v>487</v>
      </c>
      <c r="AC5" s="55">
        <v>9997.3454004106788</v>
      </c>
      <c r="AD5" s="56" t="s">
        <v>187</v>
      </c>
      <c r="AE5" s="55">
        <v>47157205.719999969</v>
      </c>
      <c r="AF5" s="55">
        <v>1002391</v>
      </c>
      <c r="AG5" s="55">
        <v>6058.32</v>
      </c>
      <c r="AH5" s="55">
        <v>15302</v>
      </c>
      <c r="AI5" s="55">
        <v>0</v>
      </c>
      <c r="AJ5" s="55">
        <v>993248.96</v>
      </c>
      <c r="AK5" s="55">
        <v>4012087.8899999978</v>
      </c>
      <c r="AL5" s="55">
        <v>48120114.679999948</v>
      </c>
      <c r="AM5" s="56" t="s">
        <v>187</v>
      </c>
      <c r="AN5" s="58">
        <v>2442</v>
      </c>
      <c r="AO5" s="58">
        <v>2509</v>
      </c>
      <c r="AP5" s="58">
        <v>0</v>
      </c>
      <c r="AQ5" s="58">
        <v>73</v>
      </c>
      <c r="AR5" s="59">
        <v>0.99979640015023341</v>
      </c>
      <c r="AS5" s="59">
        <v>0.99980399856482416</v>
      </c>
      <c r="AT5" s="59">
        <v>0</v>
      </c>
      <c r="AU5" s="59">
        <v>2.9893529893529894E-2</v>
      </c>
      <c r="AV5" s="56" t="s">
        <v>187</v>
      </c>
      <c r="AW5" s="55">
        <v>5624206.2200000007</v>
      </c>
      <c r="AX5" s="55">
        <v>-3501321.5199999968</v>
      </c>
      <c r="AY5" s="59">
        <v>-1.6493225091310848</v>
      </c>
      <c r="AZ5" s="55">
        <v>4359.1061601642787</v>
      </c>
      <c r="BA5" s="59">
        <v>2.1062506669659406E-2</v>
      </c>
      <c r="BB5" s="56" t="s">
        <v>128</v>
      </c>
      <c r="BC5" s="55">
        <v>4010009.5566666625</v>
      </c>
      <c r="BD5" s="55">
        <v>2078.3333333353512</v>
      </c>
      <c r="BE5" s="55">
        <v>48150454.67999997</v>
      </c>
      <c r="BF5" s="55">
        <v>-30340.000000022352</v>
      </c>
      <c r="BG5" s="56" t="s">
        <v>154</v>
      </c>
      <c r="BH5" s="56" t="s">
        <v>155</v>
      </c>
    </row>
    <row r="6" spans="1:60" x14ac:dyDescent="0.3">
      <c r="A6" s="54">
        <v>45047</v>
      </c>
      <c r="B6" s="55">
        <v>3491692.5299999984</v>
      </c>
      <c r="C6" s="55">
        <v>2373770.9699999997</v>
      </c>
      <c r="D6" s="55">
        <v>2373770.9699999997</v>
      </c>
      <c r="E6" s="55">
        <v>3000694.0399999996</v>
      </c>
      <c r="F6" s="55">
        <v>840106.9</v>
      </c>
      <c r="G6" s="55">
        <v>848665.75</v>
      </c>
      <c r="H6" s="55">
        <v>-349108.40999999829</v>
      </c>
      <c r="I6" s="56" t="s">
        <v>188</v>
      </c>
      <c r="J6" s="55">
        <v>7963201.0499999998</v>
      </c>
      <c r="K6" s="55">
        <v>3491692.5300000003</v>
      </c>
      <c r="L6" s="55">
        <v>2373770.9700000002</v>
      </c>
      <c r="M6" s="55">
        <v>9081122.6099999994</v>
      </c>
      <c r="N6" s="55">
        <v>0</v>
      </c>
      <c r="O6" s="56" t="s">
        <v>186</v>
      </c>
      <c r="P6" s="55">
        <v>519926.93</v>
      </c>
      <c r="Q6" s="55">
        <v>642419.7699999999</v>
      </c>
      <c r="R6" s="55">
        <v>0</v>
      </c>
      <c r="S6" s="55">
        <v>0</v>
      </c>
      <c r="T6" s="57">
        <v>0</v>
      </c>
      <c r="U6" s="56" t="s">
        <v>186</v>
      </c>
      <c r="V6" s="55">
        <v>4929130.58</v>
      </c>
      <c r="W6" s="55">
        <v>3672958.3200000003</v>
      </c>
      <c r="X6" s="55">
        <v>456789.77</v>
      </c>
      <c r="Y6" s="55">
        <v>363721.88</v>
      </c>
      <c r="Z6" s="55">
        <v>435660.61</v>
      </c>
      <c r="AA6" s="58">
        <v>496</v>
      </c>
      <c r="AB6" s="58">
        <v>496</v>
      </c>
      <c r="AC6" s="55">
        <v>9937.7632661290318</v>
      </c>
      <c r="AD6" s="56" t="s">
        <v>187</v>
      </c>
      <c r="AE6" s="55">
        <v>48150454.680000007</v>
      </c>
      <c r="AF6" s="55">
        <v>1529017</v>
      </c>
      <c r="AG6" s="55">
        <v>21306.720000000001</v>
      </c>
      <c r="AH6" s="55">
        <v>0</v>
      </c>
      <c r="AI6" s="55">
        <v>6000</v>
      </c>
      <c r="AJ6" s="55">
        <v>1544522.88</v>
      </c>
      <c r="AK6" s="55">
        <v>4140773.1299999971</v>
      </c>
      <c r="AL6" s="55">
        <v>49664637.560000002</v>
      </c>
      <c r="AM6" s="56" t="s">
        <v>187</v>
      </c>
      <c r="AN6" s="58">
        <v>2515</v>
      </c>
      <c r="AO6" s="58">
        <v>2590</v>
      </c>
      <c r="AP6" s="58">
        <v>1</v>
      </c>
      <c r="AQ6" s="58">
        <v>82</v>
      </c>
      <c r="AR6" s="59">
        <v>0.99999376952923924</v>
      </c>
      <c r="AS6" s="59">
        <v>1.0003178935713426</v>
      </c>
      <c r="AT6" s="59">
        <v>3.9761431411530816E-4</v>
      </c>
      <c r="AU6" s="59">
        <v>3.2604373757455271E-2</v>
      </c>
      <c r="AV6" s="56" t="s">
        <v>187</v>
      </c>
      <c r="AW6" s="55">
        <v>5449057.5099999998</v>
      </c>
      <c r="AX6" s="55">
        <v>-3075286.54</v>
      </c>
      <c r="AY6" s="59">
        <v>-1.2955279084906832</v>
      </c>
      <c r="AZ6" s="55">
        <v>4785.828568548387</v>
      </c>
      <c r="BA6" s="59">
        <v>3.2077015477104932E-2</v>
      </c>
      <c r="BB6" s="56" t="s">
        <v>128</v>
      </c>
      <c r="BC6" s="55">
        <v>4138719.7966666669</v>
      </c>
      <c r="BD6" s="55">
        <v>2053.3333333302289</v>
      </c>
      <c r="BE6" s="55">
        <v>49694977.56000001</v>
      </c>
      <c r="BF6" s="55">
        <v>-30340.000000007451</v>
      </c>
      <c r="BG6" s="56" t="s">
        <v>154</v>
      </c>
      <c r="BH6" s="56" t="s">
        <v>155</v>
      </c>
    </row>
    <row r="7" spans="1:60" x14ac:dyDescent="0.3">
      <c r="A7" s="54">
        <v>45078</v>
      </c>
      <c r="B7" s="55">
        <v>4373359.3</v>
      </c>
      <c r="C7" s="55">
        <v>2624063.5199999996</v>
      </c>
      <c r="D7" s="55">
        <v>2624063.5199999996</v>
      </c>
      <c r="E7" s="55">
        <v>3983097.2499999967</v>
      </c>
      <c r="F7" s="55">
        <v>903803.60999999987</v>
      </c>
      <c r="G7" s="55">
        <v>917567.48999999964</v>
      </c>
      <c r="H7" s="55">
        <v>-513541.55999999959</v>
      </c>
      <c r="I7" s="56" t="s">
        <v>185</v>
      </c>
      <c r="J7" s="55">
        <v>9081122.6099999994</v>
      </c>
      <c r="K7" s="55">
        <v>4373359.3</v>
      </c>
      <c r="L7" s="55">
        <v>2624063.52</v>
      </c>
      <c r="M7" s="55">
        <v>10830418.390000001</v>
      </c>
      <c r="N7" s="55">
        <v>0</v>
      </c>
      <c r="O7" s="56" t="s">
        <v>186</v>
      </c>
      <c r="P7" s="55">
        <v>679161.62000000011</v>
      </c>
      <c r="Q7" s="55">
        <v>500315.7</v>
      </c>
      <c r="R7" s="55">
        <v>0</v>
      </c>
      <c r="S7" s="55">
        <v>0</v>
      </c>
      <c r="T7" s="57">
        <v>0</v>
      </c>
      <c r="U7" s="56" t="s">
        <v>186</v>
      </c>
      <c r="V7" s="55">
        <v>4974433.37</v>
      </c>
      <c r="W7" s="55">
        <v>3708519.42</v>
      </c>
      <c r="X7" s="55">
        <v>460709.50000000006</v>
      </c>
      <c r="Y7" s="55">
        <v>367192.27999999997</v>
      </c>
      <c r="Z7" s="55">
        <v>438012.17000000004</v>
      </c>
      <c r="AA7" s="58">
        <v>505</v>
      </c>
      <c r="AB7" s="58">
        <v>505</v>
      </c>
      <c r="AC7" s="55">
        <v>9850.3631089108912</v>
      </c>
      <c r="AD7" s="56" t="s">
        <v>187</v>
      </c>
      <c r="AE7" s="55">
        <v>49694977.559999943</v>
      </c>
      <c r="AF7" s="55">
        <v>1192700</v>
      </c>
      <c r="AG7" s="55">
        <v>60937.080000000009</v>
      </c>
      <c r="AH7" s="55">
        <v>0</v>
      </c>
      <c r="AI7" s="55">
        <v>23868</v>
      </c>
      <c r="AJ7" s="55">
        <v>1230267.6800000004</v>
      </c>
      <c r="AK7" s="55">
        <v>4243253.7699999986</v>
      </c>
      <c r="AL7" s="55">
        <v>50894905.239999957</v>
      </c>
      <c r="AM7" s="56" t="s">
        <v>187</v>
      </c>
      <c r="AN7" s="58">
        <v>2596</v>
      </c>
      <c r="AO7" s="58">
        <v>2644</v>
      </c>
      <c r="AP7" s="58">
        <v>1</v>
      </c>
      <c r="AQ7" s="58">
        <v>55</v>
      </c>
      <c r="AR7" s="59">
        <v>0.99963440973530848</v>
      </c>
      <c r="AS7" s="59">
        <v>1.0007459321207104</v>
      </c>
      <c r="AT7" s="59">
        <v>3.8520801232665641E-4</v>
      </c>
      <c r="AU7" s="59">
        <v>2.1186440677966101E-2</v>
      </c>
      <c r="AV7" s="56" t="s">
        <v>187</v>
      </c>
      <c r="AW7" s="55">
        <v>5653594.9900000002</v>
      </c>
      <c r="AX7" s="55">
        <v>-3029531.4700000007</v>
      </c>
      <c r="AY7" s="59">
        <v>-1.1545191063057807</v>
      </c>
      <c r="AZ7" s="55">
        <v>5196.165386138613</v>
      </c>
      <c r="BA7" s="59">
        <v>2.4756378620246263E-2</v>
      </c>
      <c r="BB7" s="56" t="s">
        <v>128</v>
      </c>
      <c r="BC7" s="55">
        <v>4241242.1033333298</v>
      </c>
      <c r="BD7" s="55">
        <v>2011.6666666688398</v>
      </c>
      <c r="BE7" s="55">
        <v>50925245.239999942</v>
      </c>
      <c r="BF7" s="55">
        <v>-30339.999999985099</v>
      </c>
      <c r="BG7" s="56" t="s">
        <v>154</v>
      </c>
      <c r="BH7" s="56" t="s">
        <v>155</v>
      </c>
    </row>
    <row r="8" spans="1:60" x14ac:dyDescent="0.3">
      <c r="A8" s="54">
        <v>45108</v>
      </c>
      <c r="B8" s="55">
        <v>3788027.7699999991</v>
      </c>
      <c r="C8" s="55">
        <v>2899362.7599999974</v>
      </c>
      <c r="D8" s="55">
        <v>2899362.7599999974</v>
      </c>
      <c r="E8" s="55">
        <v>3687227.4399999976</v>
      </c>
      <c r="F8" s="55">
        <v>550712.28000000014</v>
      </c>
      <c r="G8" s="55">
        <v>557672.58000000007</v>
      </c>
      <c r="H8" s="55">
        <v>-449911.94999999879</v>
      </c>
      <c r="I8" s="56" t="s">
        <v>185</v>
      </c>
      <c r="J8" s="55">
        <v>10830418.390000001</v>
      </c>
      <c r="K8" s="55">
        <v>3788027.7699999996</v>
      </c>
      <c r="L8" s="55">
        <v>2899362.7600000002</v>
      </c>
      <c r="M8" s="55">
        <v>11719083.4</v>
      </c>
      <c r="N8" s="55">
        <v>0</v>
      </c>
      <c r="O8" s="56" t="s">
        <v>186</v>
      </c>
      <c r="P8" s="55">
        <v>588706.85000000009</v>
      </c>
      <c r="Q8" s="55">
        <v>641704.78000000014</v>
      </c>
      <c r="R8" s="55">
        <v>0</v>
      </c>
      <c r="S8" s="55">
        <v>0</v>
      </c>
      <c r="T8" s="57">
        <v>0</v>
      </c>
      <c r="U8" s="56" t="s">
        <v>186</v>
      </c>
      <c r="V8" s="55">
        <v>5078536.9500000011</v>
      </c>
      <c r="W8" s="55">
        <v>3782793.35</v>
      </c>
      <c r="X8" s="55">
        <v>472093.45000000007</v>
      </c>
      <c r="Y8" s="55">
        <v>374057.7</v>
      </c>
      <c r="Z8" s="55">
        <v>449592.45</v>
      </c>
      <c r="AA8" s="58">
        <v>513</v>
      </c>
      <c r="AB8" s="58">
        <v>513</v>
      </c>
      <c r="AC8" s="55">
        <v>9899.6821637426929</v>
      </c>
      <c r="AD8" s="56" t="s">
        <v>187</v>
      </c>
      <c r="AE8" s="55">
        <v>50925245.240000017</v>
      </c>
      <c r="AF8" s="55">
        <v>1062053</v>
      </c>
      <c r="AG8" s="55">
        <v>41914.439999999995</v>
      </c>
      <c r="AH8" s="55">
        <v>0</v>
      </c>
      <c r="AI8" s="55">
        <v>0</v>
      </c>
      <c r="AJ8" s="55">
        <v>1111895.3599999999</v>
      </c>
      <c r="AK8" s="55">
        <v>4335895.0499999961</v>
      </c>
      <c r="AL8" s="55">
        <v>52006800.600000024</v>
      </c>
      <c r="AM8" s="56" t="s">
        <v>187</v>
      </c>
      <c r="AN8" s="58">
        <v>2650</v>
      </c>
      <c r="AO8" s="58">
        <v>2702</v>
      </c>
      <c r="AP8" s="58">
        <v>0</v>
      </c>
      <c r="AQ8" s="58">
        <v>57</v>
      </c>
      <c r="AR8" s="59">
        <v>1.0001119287687892</v>
      </c>
      <c r="AS8" s="59">
        <v>1.0009787310746392</v>
      </c>
      <c r="AT8" s="59">
        <v>0</v>
      </c>
      <c r="AU8" s="59">
        <v>2.1509433962264152E-2</v>
      </c>
      <c r="AV8" s="56" t="s">
        <v>187</v>
      </c>
      <c r="AW8" s="55">
        <v>5667243.8000000007</v>
      </c>
      <c r="AX8" s="55">
        <v>-2767881.0400000033</v>
      </c>
      <c r="AY8" s="59">
        <v>-0.95465151107893986</v>
      </c>
      <c r="AZ8" s="55">
        <v>5651.7792592592541</v>
      </c>
      <c r="BA8" s="59">
        <v>2.1833873450385361E-2</v>
      </c>
      <c r="BB8" s="56" t="s">
        <v>128</v>
      </c>
      <c r="BC8" s="55">
        <v>4333900.0500000017</v>
      </c>
      <c r="BD8" s="55">
        <v>1994.9999999944121</v>
      </c>
      <c r="BE8" s="55">
        <v>52037140.600000016</v>
      </c>
      <c r="BF8" s="55">
        <v>-30339.999999992549</v>
      </c>
      <c r="BG8" s="56" t="s">
        <v>154</v>
      </c>
      <c r="BH8" s="56" t="s">
        <v>155</v>
      </c>
    </row>
    <row r="9" spans="1:60" x14ac:dyDescent="0.3">
      <c r="A9" s="54">
        <v>45139</v>
      </c>
      <c r="B9" s="55">
        <v>4187386.8999999994</v>
      </c>
      <c r="C9" s="55">
        <v>3163202.6</v>
      </c>
      <c r="D9" s="55">
        <v>3163202.6</v>
      </c>
      <c r="E9" s="55">
        <v>4042353.8199999994</v>
      </c>
      <c r="F9" s="55">
        <v>631174.55000000063</v>
      </c>
      <c r="G9" s="55">
        <v>648072.02000000048</v>
      </c>
      <c r="H9" s="55">
        <v>-486141.4700000016</v>
      </c>
      <c r="I9" s="56" t="s">
        <v>185</v>
      </c>
      <c r="J9" s="55">
        <v>11719083.4</v>
      </c>
      <c r="K9" s="55">
        <v>4187386.9</v>
      </c>
      <c r="L9" s="55">
        <v>3163202.5999999996</v>
      </c>
      <c r="M9" s="55">
        <v>12743267.700000001</v>
      </c>
      <c r="N9" s="55">
        <v>0</v>
      </c>
      <c r="O9" s="56" t="s">
        <v>186</v>
      </c>
      <c r="P9" s="55">
        <v>863983.55999999994</v>
      </c>
      <c r="Q9" s="55">
        <v>635031.86999999988</v>
      </c>
      <c r="R9" s="55">
        <v>0</v>
      </c>
      <c r="S9" s="55">
        <v>0</v>
      </c>
      <c r="T9" s="57">
        <v>0</v>
      </c>
      <c r="U9" s="56" t="s">
        <v>186</v>
      </c>
      <c r="V9" s="55">
        <v>5101870.17</v>
      </c>
      <c r="W9" s="55">
        <v>3800470.1</v>
      </c>
      <c r="X9" s="55">
        <v>473456.05999999994</v>
      </c>
      <c r="Y9" s="55">
        <v>375661.94999999995</v>
      </c>
      <c r="Z9" s="55">
        <v>452282.06000000006</v>
      </c>
      <c r="AA9" s="58">
        <v>520</v>
      </c>
      <c r="AB9" s="58">
        <v>520</v>
      </c>
      <c r="AC9" s="55">
        <v>9811.2887884615375</v>
      </c>
      <c r="AD9" s="56" t="s">
        <v>187</v>
      </c>
      <c r="AE9" s="55">
        <v>52037140.599999987</v>
      </c>
      <c r="AF9" s="55">
        <v>1428249</v>
      </c>
      <c r="AG9" s="55">
        <v>13973.160000000002</v>
      </c>
      <c r="AH9" s="55">
        <v>10209</v>
      </c>
      <c r="AI9" s="55">
        <v>65430</v>
      </c>
      <c r="AJ9" s="55">
        <v>1366683.7599999995</v>
      </c>
      <c r="AK9" s="55">
        <v>4449752.0300000012</v>
      </c>
      <c r="AL9" s="55">
        <v>53373484.359999977</v>
      </c>
      <c r="AM9" s="56" t="s">
        <v>187</v>
      </c>
      <c r="AN9" s="58">
        <v>2708</v>
      </c>
      <c r="AO9" s="58">
        <v>2769</v>
      </c>
      <c r="AP9" s="58">
        <v>2</v>
      </c>
      <c r="AQ9" s="58">
        <v>69</v>
      </c>
      <c r="AR9" s="59">
        <v>0.99865599532961269</v>
      </c>
      <c r="AS9" s="59">
        <v>0.99881498100608568</v>
      </c>
      <c r="AT9" s="59">
        <v>7.3855243722304289E-4</v>
      </c>
      <c r="AU9" s="59">
        <v>2.5480059084194977E-2</v>
      </c>
      <c r="AV9" s="56" t="s">
        <v>187</v>
      </c>
      <c r="AW9" s="55">
        <v>5965853.7299999995</v>
      </c>
      <c r="AX9" s="55">
        <v>-2802651.1299999994</v>
      </c>
      <c r="AY9" s="59">
        <v>-0.88601695319800233</v>
      </c>
      <c r="AZ9" s="55">
        <v>6083.081923076923</v>
      </c>
      <c r="BA9" s="59">
        <v>2.626362141043545E-2</v>
      </c>
      <c r="BB9" s="56" t="s">
        <v>128</v>
      </c>
      <c r="BC9" s="55">
        <v>4447790.3633333314</v>
      </c>
      <c r="BD9" s="55">
        <v>1961.6666666697711</v>
      </c>
      <c r="BE9" s="55">
        <v>53403824.359999985</v>
      </c>
      <c r="BF9" s="55">
        <v>-30340.000000007451</v>
      </c>
      <c r="BG9" s="56" t="s">
        <v>154</v>
      </c>
      <c r="BH9" s="56" t="s">
        <v>155</v>
      </c>
    </row>
    <row r="10" spans="1:60" x14ac:dyDescent="0.3">
      <c r="A10" s="54">
        <v>45170</v>
      </c>
      <c r="B10" s="55">
        <v>4154014.4700000011</v>
      </c>
      <c r="C10" s="55">
        <v>3373435.1099999947</v>
      </c>
      <c r="D10" s="55">
        <v>3373435.1099999947</v>
      </c>
      <c r="E10" s="55">
        <v>3796047.9</v>
      </c>
      <c r="F10" s="55">
        <v>813438.32000000041</v>
      </c>
      <c r="G10" s="55">
        <v>822694.70000000019</v>
      </c>
      <c r="H10" s="55">
        <v>-455471.7499999986</v>
      </c>
      <c r="I10" s="56" t="s">
        <v>188</v>
      </c>
      <c r="J10" s="55">
        <v>12743267.700000001</v>
      </c>
      <c r="K10" s="55">
        <v>4154014.4699999997</v>
      </c>
      <c r="L10" s="55">
        <v>3373435.11</v>
      </c>
      <c r="M10" s="55">
        <v>13523847.059999999</v>
      </c>
      <c r="N10" s="55">
        <v>0</v>
      </c>
      <c r="O10" s="56" t="s">
        <v>186</v>
      </c>
      <c r="P10" s="55">
        <v>360866.05</v>
      </c>
      <c r="Q10" s="55">
        <v>619227.96999999986</v>
      </c>
      <c r="R10" s="55">
        <v>0</v>
      </c>
      <c r="S10" s="55">
        <v>0</v>
      </c>
      <c r="T10" s="57">
        <v>0</v>
      </c>
      <c r="U10" s="56" t="s">
        <v>186</v>
      </c>
      <c r="V10" s="55">
        <v>5180494.3099999996</v>
      </c>
      <c r="W10" s="55">
        <v>3861616.85</v>
      </c>
      <c r="X10" s="55">
        <v>479682.79000000004</v>
      </c>
      <c r="Y10" s="55">
        <v>381778.74000000005</v>
      </c>
      <c r="Z10" s="55">
        <v>457415.93</v>
      </c>
      <c r="AA10" s="58">
        <v>531</v>
      </c>
      <c r="AB10" s="58">
        <v>531</v>
      </c>
      <c r="AC10" s="55">
        <v>9756.1098116760822</v>
      </c>
      <c r="AD10" s="56" t="s">
        <v>187</v>
      </c>
      <c r="AE10" s="55">
        <v>53403824.35999994</v>
      </c>
      <c r="AF10" s="55">
        <v>828130</v>
      </c>
      <c r="AG10" s="55">
        <v>59171.519999999997</v>
      </c>
      <c r="AH10" s="55">
        <v>22442</v>
      </c>
      <c r="AI10" s="55">
        <v>0</v>
      </c>
      <c r="AJ10" s="55">
        <v>865058.48</v>
      </c>
      <c r="AK10" s="55">
        <v>4521823.5700000012</v>
      </c>
      <c r="AL10" s="55">
        <v>54238542.839999951</v>
      </c>
      <c r="AM10" s="56" t="s">
        <v>187</v>
      </c>
      <c r="AN10" s="58">
        <v>2775</v>
      </c>
      <c r="AO10" s="58">
        <v>2831</v>
      </c>
      <c r="AP10" s="58">
        <v>0</v>
      </c>
      <c r="AQ10" s="58">
        <v>62</v>
      </c>
      <c r="AR10" s="59">
        <v>0.99968650559766759</v>
      </c>
      <c r="AS10" s="59">
        <v>1.0006877732154984</v>
      </c>
      <c r="AT10" s="59">
        <v>0</v>
      </c>
      <c r="AU10" s="59">
        <v>2.2342342342342343E-2</v>
      </c>
      <c r="AV10" s="56" t="s">
        <v>187</v>
      </c>
      <c r="AW10" s="55">
        <v>5541360.3599999994</v>
      </c>
      <c r="AX10" s="55">
        <v>-2167925.2500000047</v>
      </c>
      <c r="AY10" s="59">
        <v>-0.64264619869922679</v>
      </c>
      <c r="AZ10" s="55">
        <v>6352.985141242928</v>
      </c>
      <c r="BA10" s="59">
        <v>1.6198436916587913E-2</v>
      </c>
      <c r="BB10" s="56" t="s">
        <v>128</v>
      </c>
      <c r="BC10" s="55">
        <v>4519878.5699999956</v>
      </c>
      <c r="BD10" s="55">
        <v>1945.0000000055879</v>
      </c>
      <c r="BE10" s="55">
        <v>54268882.839999937</v>
      </c>
      <c r="BF10" s="55">
        <v>-30339.999999985099</v>
      </c>
      <c r="BG10" s="56" t="s">
        <v>154</v>
      </c>
      <c r="BH10" s="56" t="s">
        <v>155</v>
      </c>
    </row>
    <row r="11" spans="1:60" x14ac:dyDescent="0.3">
      <c r="A11" s="54">
        <v>45200</v>
      </c>
      <c r="B11" s="55">
        <v>4065229.9700000016</v>
      </c>
      <c r="C11" s="55">
        <v>3639853.0300000003</v>
      </c>
      <c r="D11" s="55">
        <v>3639853.0300000003</v>
      </c>
      <c r="E11" s="55">
        <v>3921672.5900000022</v>
      </c>
      <c r="F11" s="55">
        <v>632971.9600000002</v>
      </c>
      <c r="G11" s="55">
        <v>644302.7200000002</v>
      </c>
      <c r="H11" s="55">
        <v>-489414.57999999914</v>
      </c>
      <c r="I11" s="56" t="s">
        <v>185</v>
      </c>
      <c r="J11" s="55">
        <v>13523847.059999999</v>
      </c>
      <c r="K11" s="55">
        <v>4065229.9699999997</v>
      </c>
      <c r="L11" s="55">
        <v>3639853.0300000003</v>
      </c>
      <c r="M11" s="55">
        <v>13949224</v>
      </c>
      <c r="N11" s="55">
        <v>0</v>
      </c>
      <c r="O11" s="56" t="s">
        <v>186</v>
      </c>
      <c r="P11" s="55">
        <v>593476.80000000005</v>
      </c>
      <c r="Q11" s="55">
        <v>397281.73999999993</v>
      </c>
      <c r="R11" s="55">
        <v>0</v>
      </c>
      <c r="S11" s="55">
        <v>0</v>
      </c>
      <c r="T11" s="57">
        <v>0</v>
      </c>
      <c r="U11" s="56" t="s">
        <v>186</v>
      </c>
      <c r="V11" s="55">
        <v>5252380.18</v>
      </c>
      <c r="W11" s="55">
        <v>3916179.08</v>
      </c>
      <c r="X11" s="55">
        <v>485548.37000000005</v>
      </c>
      <c r="Y11" s="55">
        <v>387643.59</v>
      </c>
      <c r="Z11" s="55">
        <v>463009.13999999996</v>
      </c>
      <c r="AA11" s="58">
        <v>536</v>
      </c>
      <c r="AB11" s="58">
        <v>536</v>
      </c>
      <c r="AC11" s="55">
        <v>9799.2167537313435</v>
      </c>
      <c r="AD11" s="56" t="s">
        <v>187</v>
      </c>
      <c r="AE11" s="55">
        <v>54268882.839999996</v>
      </c>
      <c r="AF11" s="55">
        <v>1028968</v>
      </c>
      <c r="AG11" s="55">
        <v>44596.08</v>
      </c>
      <c r="AH11" s="55">
        <v>5224</v>
      </c>
      <c r="AI11" s="55">
        <v>39600</v>
      </c>
      <c r="AJ11" s="55">
        <v>1028740.6</v>
      </c>
      <c r="AK11" s="55">
        <v>4607543.620000001</v>
      </c>
      <c r="AL11" s="55">
        <v>55280483.439999998</v>
      </c>
      <c r="AM11" s="56" t="s">
        <v>187</v>
      </c>
      <c r="AN11" s="58">
        <v>2837</v>
      </c>
      <c r="AO11" s="58">
        <v>2886</v>
      </c>
      <c r="AP11" s="58">
        <v>3</v>
      </c>
      <c r="AQ11" s="58">
        <v>58</v>
      </c>
      <c r="AR11" s="59">
        <v>0.99954441295441998</v>
      </c>
      <c r="AS11" s="59">
        <v>0.99999579648616177</v>
      </c>
      <c r="AT11" s="59">
        <v>1.0574550581600281E-3</v>
      </c>
      <c r="AU11" s="59">
        <v>2.0444131124427212E-2</v>
      </c>
      <c r="AV11" s="56" t="s">
        <v>187</v>
      </c>
      <c r="AW11" s="55">
        <v>5845856.9799999995</v>
      </c>
      <c r="AX11" s="55">
        <v>-2206003.9499999993</v>
      </c>
      <c r="AY11" s="59">
        <v>-0.60606951209785498</v>
      </c>
      <c r="AZ11" s="55">
        <v>6790.7705783582096</v>
      </c>
      <c r="BA11" s="59">
        <v>1.8956362212817573E-2</v>
      </c>
      <c r="BB11" s="56" t="s">
        <v>128</v>
      </c>
      <c r="BC11" s="55">
        <v>4606706.9533333331</v>
      </c>
      <c r="BD11" s="55">
        <v>836.66666666790843</v>
      </c>
      <c r="BE11" s="55">
        <v>55297623.439999998</v>
      </c>
      <c r="BF11" s="55">
        <v>-17140</v>
      </c>
      <c r="BG11" s="56" t="s">
        <v>154</v>
      </c>
      <c r="BH11" s="56" t="s">
        <v>155</v>
      </c>
    </row>
    <row r="12" spans="1:60" x14ac:dyDescent="0.3">
      <c r="A12" s="54">
        <v>45231</v>
      </c>
      <c r="B12" s="55">
        <v>3442796.8099999982</v>
      </c>
      <c r="C12" s="55">
        <v>3770045.77999999</v>
      </c>
      <c r="D12" s="55">
        <v>3770045.77999999</v>
      </c>
      <c r="E12" s="55">
        <v>3229596.2600000021</v>
      </c>
      <c r="F12" s="55">
        <v>613074.49</v>
      </c>
      <c r="G12" s="55">
        <v>620715.9</v>
      </c>
      <c r="H12" s="55">
        <v>-399873.9400000032</v>
      </c>
      <c r="I12" s="56" t="s">
        <v>185</v>
      </c>
      <c r="J12" s="55">
        <v>13949224</v>
      </c>
      <c r="K12" s="55">
        <v>3442796.81</v>
      </c>
      <c r="L12" s="55">
        <v>3770045.7800000003</v>
      </c>
      <c r="M12" s="55">
        <v>13626975.029999999</v>
      </c>
      <c r="N12" s="55">
        <v>5000.0000000018626</v>
      </c>
      <c r="O12" s="56" t="s">
        <v>170</v>
      </c>
      <c r="P12" s="55">
        <v>592750.93000000017</v>
      </c>
      <c r="Q12" s="55">
        <v>544597.97999999986</v>
      </c>
      <c r="R12" s="55">
        <v>0</v>
      </c>
      <c r="S12" s="55">
        <v>0</v>
      </c>
      <c r="T12" s="57">
        <v>0</v>
      </c>
      <c r="U12" s="56" t="s">
        <v>186</v>
      </c>
      <c r="V12" s="55">
        <v>5366818.25</v>
      </c>
      <c r="W12" s="55">
        <v>4001316.74</v>
      </c>
      <c r="X12" s="55">
        <v>496390.03</v>
      </c>
      <c r="Y12" s="55">
        <v>396466.42000000004</v>
      </c>
      <c r="Z12" s="55">
        <v>472645.06000000006</v>
      </c>
      <c r="AA12" s="58">
        <v>546</v>
      </c>
      <c r="AB12" s="58">
        <v>546</v>
      </c>
      <c r="AC12" s="55">
        <v>9829.3374542124548</v>
      </c>
      <c r="AD12" s="56" t="s">
        <v>187</v>
      </c>
      <c r="AE12" s="55">
        <v>55297623.43999999</v>
      </c>
      <c r="AF12" s="55">
        <v>861511</v>
      </c>
      <c r="AG12" s="55">
        <v>42329.880000000005</v>
      </c>
      <c r="AH12" s="55">
        <v>9923</v>
      </c>
      <c r="AI12" s="55">
        <v>14100</v>
      </c>
      <c r="AJ12" s="55">
        <v>879817.00000000012</v>
      </c>
      <c r="AK12" s="55">
        <v>4680853.37</v>
      </c>
      <c r="AL12" s="55">
        <v>56160300.439999998</v>
      </c>
      <c r="AM12" s="56" t="s">
        <v>187</v>
      </c>
      <c r="AN12" s="58">
        <v>2893</v>
      </c>
      <c r="AO12" s="58">
        <v>2936</v>
      </c>
      <c r="AP12" s="58">
        <v>2</v>
      </c>
      <c r="AQ12" s="58">
        <v>52</v>
      </c>
      <c r="AR12" s="59">
        <v>0.99992906241252366</v>
      </c>
      <c r="AS12" s="59">
        <v>1.0003310666690743</v>
      </c>
      <c r="AT12" s="59">
        <v>6.9132388524023505E-4</v>
      </c>
      <c r="AU12" s="59">
        <v>1.7974421016246113E-2</v>
      </c>
      <c r="AV12" s="56" t="s">
        <v>187</v>
      </c>
      <c r="AW12" s="55">
        <v>5959569.1799999997</v>
      </c>
      <c r="AX12" s="55">
        <v>-2189523.4000000097</v>
      </c>
      <c r="AY12" s="59">
        <v>-0.58076838525817998</v>
      </c>
      <c r="AZ12" s="55">
        <v>6904.8457509157324</v>
      </c>
      <c r="BA12" s="59">
        <v>1.5910575270104234E-2</v>
      </c>
      <c r="BB12" s="56" t="s">
        <v>128</v>
      </c>
      <c r="BC12" s="55">
        <v>4680025.0366666662</v>
      </c>
      <c r="BD12" s="55">
        <v>828.33333333395422</v>
      </c>
      <c r="BE12" s="55">
        <v>56177440.43999999</v>
      </c>
      <c r="BF12" s="55">
        <v>-17139.999999992549</v>
      </c>
      <c r="BG12" s="56" t="s">
        <v>154</v>
      </c>
      <c r="BH12" s="56" t="s">
        <v>155</v>
      </c>
    </row>
    <row r="13" spans="1:60" x14ac:dyDescent="0.3">
      <c r="A13" s="54">
        <v>45261</v>
      </c>
      <c r="B13" s="55">
        <v>4361648.7</v>
      </c>
      <c r="C13" s="55">
        <v>4105386.3800000087</v>
      </c>
      <c r="D13" s="55">
        <v>4105386.3800000087</v>
      </c>
      <c r="E13" s="55">
        <v>3925204.3599999971</v>
      </c>
      <c r="F13" s="55">
        <v>918438.99999999965</v>
      </c>
      <c r="G13" s="55">
        <v>933546.36999999965</v>
      </c>
      <c r="H13" s="55">
        <v>-481994.65999999642</v>
      </c>
      <c r="I13" s="56" t="s">
        <v>188</v>
      </c>
      <c r="J13" s="55">
        <v>13621975.029999999</v>
      </c>
      <c r="K13" s="55">
        <v>4361648.7</v>
      </c>
      <c r="L13" s="55">
        <v>4105386.38</v>
      </c>
      <c r="M13" s="55">
        <v>13878237.35</v>
      </c>
      <c r="N13" s="55">
        <v>0</v>
      </c>
      <c r="O13" s="56" t="s">
        <v>186</v>
      </c>
      <c r="P13" s="55">
        <v>469030.83000000007</v>
      </c>
      <c r="Q13" s="55">
        <v>654590.80999999994</v>
      </c>
      <c r="R13" s="55">
        <v>0</v>
      </c>
      <c r="S13" s="55">
        <v>0</v>
      </c>
      <c r="T13" s="57">
        <v>0</v>
      </c>
      <c r="U13" s="56" t="s">
        <v>186</v>
      </c>
      <c r="V13" s="55">
        <v>5390038.7999999998</v>
      </c>
      <c r="W13" s="55">
        <v>4018454.46</v>
      </c>
      <c r="X13" s="55">
        <v>499717.76</v>
      </c>
      <c r="Y13" s="55">
        <v>398057.85</v>
      </c>
      <c r="Z13" s="55">
        <v>473808.73</v>
      </c>
      <c r="AA13" s="58">
        <v>552</v>
      </c>
      <c r="AB13" s="58">
        <v>552</v>
      </c>
      <c r="AC13" s="55">
        <v>9764.5630434782597</v>
      </c>
      <c r="AD13" s="56" t="s">
        <v>187</v>
      </c>
      <c r="AE13" s="55">
        <v>56177440.440000013</v>
      </c>
      <c r="AF13" s="55">
        <v>1442518</v>
      </c>
      <c r="AG13" s="55">
        <v>72285.48</v>
      </c>
      <c r="AH13" s="55">
        <v>48552</v>
      </c>
      <c r="AI13" s="55">
        <v>50760</v>
      </c>
      <c r="AJ13" s="55">
        <v>1415491.9600000002</v>
      </c>
      <c r="AK13" s="55">
        <v>4798802.7</v>
      </c>
      <c r="AL13" s="55">
        <v>57572912.400000036</v>
      </c>
      <c r="AM13" s="56" t="s">
        <v>187</v>
      </c>
      <c r="AN13" s="58">
        <v>2943</v>
      </c>
      <c r="AO13" s="58">
        <v>2995</v>
      </c>
      <c r="AP13" s="58">
        <v>5</v>
      </c>
      <c r="AQ13" s="58">
        <v>64</v>
      </c>
      <c r="AR13" s="59">
        <v>0.99858997207100264</v>
      </c>
      <c r="AS13" s="59">
        <v>0.99951891222191136</v>
      </c>
      <c r="AT13" s="59">
        <v>1.6989466530750934E-3</v>
      </c>
      <c r="AU13" s="59">
        <v>2.1746517159361198E-2</v>
      </c>
      <c r="AV13" s="56" t="s">
        <v>187</v>
      </c>
      <c r="AW13" s="55">
        <v>5859069.6299999999</v>
      </c>
      <c r="AX13" s="55">
        <v>-1753683.2499999912</v>
      </c>
      <c r="AY13" s="59">
        <v>-0.42716643153085809</v>
      </c>
      <c r="AZ13" s="55">
        <v>7437.2941666666829</v>
      </c>
      <c r="BA13" s="59">
        <v>2.519680407141027E-2</v>
      </c>
      <c r="BB13" s="56" t="s">
        <v>128</v>
      </c>
      <c r="BC13" s="55">
        <v>4797742.700000003</v>
      </c>
      <c r="BD13" s="55">
        <v>1059.999999997206</v>
      </c>
      <c r="BE13" s="55">
        <v>57592932.400000013</v>
      </c>
      <c r="BF13" s="55">
        <v>-20019.999999977648</v>
      </c>
      <c r="BG13" s="56" t="s">
        <v>154</v>
      </c>
      <c r="BH13" s="56" t="s">
        <v>155</v>
      </c>
    </row>
    <row r="14" spans="1:60" x14ac:dyDescent="0.3">
      <c r="A14" s="54">
        <v>45292</v>
      </c>
      <c r="B14" s="55">
        <v>4923043.9499999983</v>
      </c>
      <c r="C14" s="55">
        <v>4195116.2700000117</v>
      </c>
      <c r="D14" s="55">
        <v>4195116.2700000117</v>
      </c>
      <c r="E14" s="55">
        <v>4681784.9899999946</v>
      </c>
      <c r="F14" s="55">
        <v>825912.51999999979</v>
      </c>
      <c r="G14" s="55">
        <v>837677.15999999992</v>
      </c>
      <c r="H14" s="55">
        <v>-584653.55999999959</v>
      </c>
      <c r="I14" s="56" t="s">
        <v>185</v>
      </c>
      <c r="J14" s="55">
        <v>13878237.350000001</v>
      </c>
      <c r="K14" s="55">
        <v>4923043.9499999993</v>
      </c>
      <c r="L14" s="55">
        <v>4195116.2699999996</v>
      </c>
      <c r="M14" s="55">
        <v>14606165.029999999</v>
      </c>
      <c r="N14" s="55">
        <v>0</v>
      </c>
      <c r="O14" s="56" t="s">
        <v>186</v>
      </c>
      <c r="P14" s="55">
        <v>585100.15</v>
      </c>
      <c r="Q14" s="55">
        <v>409944.6</v>
      </c>
      <c r="R14" s="55">
        <v>0</v>
      </c>
      <c r="S14" s="55">
        <v>0</v>
      </c>
      <c r="T14" s="57">
        <v>0</v>
      </c>
      <c r="U14" s="56" t="s">
        <v>186</v>
      </c>
      <c r="V14" s="55">
        <v>5441776.8500000006</v>
      </c>
      <c r="W14" s="55">
        <v>4056930.77</v>
      </c>
      <c r="X14" s="55">
        <v>504943.78999999992</v>
      </c>
      <c r="Y14" s="55">
        <v>401423.18</v>
      </c>
      <c r="Z14" s="55">
        <v>478479.11</v>
      </c>
      <c r="AA14" s="58">
        <v>564</v>
      </c>
      <c r="AB14" s="58">
        <v>564</v>
      </c>
      <c r="AC14" s="55">
        <v>9648.5405141843985</v>
      </c>
      <c r="AD14" s="56" t="s">
        <v>187</v>
      </c>
      <c r="AE14" s="55">
        <v>57592932.400000043</v>
      </c>
      <c r="AF14" s="55">
        <v>1096969</v>
      </c>
      <c r="AG14" s="55">
        <v>40305.360000000008</v>
      </c>
      <c r="AH14" s="55">
        <v>0</v>
      </c>
      <c r="AI14" s="55">
        <v>40200</v>
      </c>
      <c r="AJ14" s="55">
        <v>1097175.1600000001</v>
      </c>
      <c r="AK14" s="55">
        <v>4890225.6299999934</v>
      </c>
      <c r="AL14" s="55">
        <v>58670087.560000047</v>
      </c>
      <c r="AM14" s="56" t="s">
        <v>187</v>
      </c>
      <c r="AN14" s="58">
        <v>3003</v>
      </c>
      <c r="AO14" s="58">
        <v>3047</v>
      </c>
      <c r="AP14" s="58">
        <v>4</v>
      </c>
      <c r="AQ14" s="58">
        <v>54</v>
      </c>
      <c r="AR14" s="59">
        <v>0.99965099884373998</v>
      </c>
      <c r="AS14" s="59">
        <v>1.0000018293911352</v>
      </c>
      <c r="AT14" s="59">
        <v>1.332001332001332E-3</v>
      </c>
      <c r="AU14" s="59">
        <v>1.7982017982017984E-2</v>
      </c>
      <c r="AV14" s="56" t="s">
        <v>187</v>
      </c>
      <c r="AW14" s="55">
        <v>6026877.0000000009</v>
      </c>
      <c r="AX14" s="55">
        <v>-1831760.7299999893</v>
      </c>
      <c r="AY14" s="59">
        <v>-0.43664123044675091</v>
      </c>
      <c r="AZ14" s="55">
        <v>7438.1494148936381</v>
      </c>
      <c r="BA14" s="59">
        <v>1.9050517386053421E-2</v>
      </c>
      <c r="BB14" s="56" t="s">
        <v>128</v>
      </c>
      <c r="BC14" s="55">
        <v>4889173.9633333376</v>
      </c>
      <c r="BD14" s="55">
        <v>1051.6666666558012</v>
      </c>
      <c r="BE14" s="55">
        <v>58690107.560000047</v>
      </c>
      <c r="BF14" s="55">
        <v>-20020</v>
      </c>
      <c r="BG14" s="56" t="s">
        <v>154</v>
      </c>
      <c r="BH14" s="56" t="s">
        <v>155</v>
      </c>
    </row>
    <row r="15" spans="1:60" x14ac:dyDescent="0.3">
      <c r="A15" s="54">
        <v>45323</v>
      </c>
      <c r="B15" s="55">
        <v>4719002.1899999967</v>
      </c>
      <c r="C15" s="55">
        <v>4105371.5100000212</v>
      </c>
      <c r="D15" s="55">
        <v>4105371.5100000212</v>
      </c>
      <c r="E15" s="55">
        <v>3839587.2999999984</v>
      </c>
      <c r="F15" s="55">
        <v>1428126.0300000005</v>
      </c>
      <c r="G15" s="55">
        <v>1437854.6600000001</v>
      </c>
      <c r="H15" s="55">
        <v>-548711.1399999978</v>
      </c>
      <c r="I15" s="56" t="s">
        <v>185</v>
      </c>
      <c r="J15" s="55">
        <v>14606165.029999999</v>
      </c>
      <c r="K15" s="55">
        <v>4719002.1899999995</v>
      </c>
      <c r="L15" s="55">
        <v>4105371.51</v>
      </c>
      <c r="M15" s="55">
        <v>15219795.709999999</v>
      </c>
      <c r="N15" s="55">
        <v>0</v>
      </c>
      <c r="O15" s="56" t="s">
        <v>186</v>
      </c>
      <c r="P15" s="55">
        <v>707690.68000000017</v>
      </c>
      <c r="Q15" s="55">
        <v>323431.84000000003</v>
      </c>
      <c r="R15" s="55">
        <v>0</v>
      </c>
      <c r="S15" s="55">
        <v>0</v>
      </c>
      <c r="T15" s="57">
        <v>0</v>
      </c>
      <c r="U15" s="56" t="s">
        <v>186</v>
      </c>
      <c r="V15" s="55">
        <v>5549098.9000000004</v>
      </c>
      <c r="W15" s="55">
        <v>4136172.46</v>
      </c>
      <c r="X15" s="55">
        <v>514153.66000000003</v>
      </c>
      <c r="Y15" s="55">
        <v>408884.51999999996</v>
      </c>
      <c r="Z15" s="55">
        <v>489888.26</v>
      </c>
      <c r="AA15" s="58">
        <v>574</v>
      </c>
      <c r="AB15" s="58">
        <v>574</v>
      </c>
      <c r="AC15" s="55">
        <v>9667.4196864111509</v>
      </c>
      <c r="AD15" s="56" t="s">
        <v>187</v>
      </c>
      <c r="AE15" s="55">
        <v>58690107.559999973</v>
      </c>
      <c r="AF15" s="55">
        <v>882854</v>
      </c>
      <c r="AG15" s="55">
        <v>22438.68</v>
      </c>
      <c r="AH15" s="55">
        <v>2107</v>
      </c>
      <c r="AI15" s="55">
        <v>82856</v>
      </c>
      <c r="AJ15" s="55">
        <v>820529.72</v>
      </c>
      <c r="AK15" s="55">
        <v>4958586.440000006</v>
      </c>
      <c r="AL15" s="55">
        <v>59490517.279999979</v>
      </c>
      <c r="AM15" s="56" t="s">
        <v>187</v>
      </c>
      <c r="AN15" s="58">
        <v>3055</v>
      </c>
      <c r="AO15" s="58">
        <v>3090</v>
      </c>
      <c r="AP15" s="58">
        <v>4</v>
      </c>
      <c r="AQ15" s="58">
        <v>47</v>
      </c>
      <c r="AR15" s="59">
        <v>0.99889482226738646</v>
      </c>
      <c r="AS15" s="59">
        <v>0.998934670209352</v>
      </c>
      <c r="AT15" s="59">
        <v>1.3093289689034371E-3</v>
      </c>
      <c r="AU15" s="59">
        <v>1.5384615384615385E-2</v>
      </c>
      <c r="AV15" s="56" t="s">
        <v>187</v>
      </c>
      <c r="AW15" s="55">
        <v>6256789.5800000001</v>
      </c>
      <c r="AX15" s="55">
        <v>-2151418.0699999789</v>
      </c>
      <c r="AY15" s="59">
        <v>-0.52404954454413499</v>
      </c>
      <c r="AZ15" s="55">
        <v>7152.215174216065</v>
      </c>
      <c r="BA15" s="59">
        <v>1.3980715901076812E-2</v>
      </c>
      <c r="BB15" s="56" t="s">
        <v>128</v>
      </c>
      <c r="BC15" s="55">
        <v>4957543.1066666646</v>
      </c>
      <c r="BD15" s="55">
        <v>1043.3333333414048</v>
      </c>
      <c r="BE15" s="55">
        <v>59510637.279999971</v>
      </c>
      <c r="BF15" s="55">
        <v>-20119.999999992549</v>
      </c>
      <c r="BG15" s="56" t="s">
        <v>154</v>
      </c>
      <c r="BH15" s="56" t="s">
        <v>155</v>
      </c>
    </row>
    <row r="16" spans="1:60" x14ac:dyDescent="0.3">
      <c r="A16" s="54">
        <v>45352</v>
      </c>
      <c r="B16" s="55">
        <v>4553954.549999998</v>
      </c>
      <c r="C16" s="55">
        <v>4370856.2800000096</v>
      </c>
      <c r="D16" s="55">
        <v>4370856.2800000096</v>
      </c>
      <c r="E16" s="55">
        <v>4200103.42</v>
      </c>
      <c r="F16" s="55">
        <v>880749.89999999956</v>
      </c>
      <c r="G16" s="55">
        <v>886877.11999999965</v>
      </c>
      <c r="H16" s="55">
        <v>-526898.77000000048</v>
      </c>
      <c r="I16" s="56" t="s">
        <v>185</v>
      </c>
      <c r="J16" s="55">
        <v>15219795.710000001</v>
      </c>
      <c r="K16" s="55">
        <v>4553954.55</v>
      </c>
      <c r="L16" s="55">
        <v>4370856.28</v>
      </c>
      <c r="M16" s="55">
        <v>15402893.98</v>
      </c>
      <c r="N16" s="55">
        <v>0</v>
      </c>
      <c r="O16" s="56" t="s">
        <v>186</v>
      </c>
      <c r="P16" s="55">
        <v>602641.83000000007</v>
      </c>
      <c r="Q16" s="55">
        <v>625252.68000000005</v>
      </c>
      <c r="R16" s="55">
        <v>0</v>
      </c>
      <c r="S16" s="55">
        <v>0</v>
      </c>
      <c r="T16" s="57">
        <v>0</v>
      </c>
      <c r="U16" s="56" t="s">
        <v>186</v>
      </c>
      <c r="V16" s="55">
        <v>5583951.7800000003</v>
      </c>
      <c r="W16" s="55">
        <v>4162300.4300000006</v>
      </c>
      <c r="X16" s="55">
        <v>519802.24000000005</v>
      </c>
      <c r="Y16" s="55">
        <v>410718.06999999995</v>
      </c>
      <c r="Z16" s="55">
        <v>491131.04000000004</v>
      </c>
      <c r="AA16" s="58">
        <v>582</v>
      </c>
      <c r="AB16" s="58">
        <v>582</v>
      </c>
      <c r="AC16" s="55">
        <v>9594.4188659793817</v>
      </c>
      <c r="AD16" s="56" t="s">
        <v>187</v>
      </c>
      <c r="AE16" s="55">
        <v>59510637.280000001</v>
      </c>
      <c r="AF16" s="55">
        <v>1031310</v>
      </c>
      <c r="AG16" s="55">
        <v>25398.120000000003</v>
      </c>
      <c r="AH16" s="55">
        <v>0</v>
      </c>
      <c r="AI16" s="55">
        <v>14100</v>
      </c>
      <c r="AJ16" s="55">
        <v>1042708.36</v>
      </c>
      <c r="AK16" s="55">
        <v>5045445.4700000016</v>
      </c>
      <c r="AL16" s="55">
        <v>60533225.640000001</v>
      </c>
      <c r="AM16" s="56" t="s">
        <v>187</v>
      </c>
      <c r="AN16" s="58">
        <v>3099</v>
      </c>
      <c r="AO16" s="58">
        <v>3137</v>
      </c>
      <c r="AP16" s="58">
        <v>1</v>
      </c>
      <c r="AQ16" s="58">
        <v>48</v>
      </c>
      <c r="AR16" s="59">
        <v>1.0001008223113419</v>
      </c>
      <c r="AS16" s="59">
        <v>1.0001898504287028</v>
      </c>
      <c r="AT16" s="59">
        <v>3.2268473701193933E-4</v>
      </c>
      <c r="AU16" s="59">
        <v>1.5488867376573089E-2</v>
      </c>
      <c r="AV16" s="56" t="s">
        <v>187</v>
      </c>
      <c r="AW16" s="55">
        <v>6186593.6100000003</v>
      </c>
      <c r="AX16" s="55">
        <v>-1815737.3299999908</v>
      </c>
      <c r="AY16" s="59">
        <v>-0.41541913384532214</v>
      </c>
      <c r="AZ16" s="55">
        <v>7510.0623367697763</v>
      </c>
      <c r="BA16" s="59">
        <v>1.7521377818456457E-2</v>
      </c>
      <c r="BB16" s="56" t="s">
        <v>128</v>
      </c>
      <c r="BC16" s="55">
        <v>5044435.47</v>
      </c>
      <c r="BD16" s="55">
        <v>1010.0000000018626</v>
      </c>
      <c r="BE16" s="55">
        <v>60553345.640000001</v>
      </c>
      <c r="BF16" s="55">
        <v>-20120</v>
      </c>
      <c r="BG16" s="56" t="s">
        <v>154</v>
      </c>
      <c r="BH16" s="56" t="s">
        <v>155</v>
      </c>
    </row>
    <row r="17" spans="1:60" x14ac:dyDescent="0.3">
      <c r="A17" s="54">
        <v>45383</v>
      </c>
      <c r="B17" s="55">
        <v>4856606.120000001</v>
      </c>
      <c r="C17" s="55">
        <v>4353796.8699999852</v>
      </c>
      <c r="D17" s="55">
        <v>4353796.8699999852</v>
      </c>
      <c r="E17" s="55">
        <v>4088023.129999999</v>
      </c>
      <c r="F17" s="55">
        <v>1299623.7799999993</v>
      </c>
      <c r="G17" s="55">
        <v>1320568.1999999988</v>
      </c>
      <c r="H17" s="55">
        <v>-531040.78999999538</v>
      </c>
      <c r="I17" s="56" t="s">
        <v>188</v>
      </c>
      <c r="J17" s="55">
        <v>15402893.98</v>
      </c>
      <c r="K17" s="55">
        <v>4856606.12</v>
      </c>
      <c r="L17" s="55">
        <v>4353796.87</v>
      </c>
      <c r="M17" s="55">
        <v>15905703.23</v>
      </c>
      <c r="N17" s="55">
        <v>0</v>
      </c>
      <c r="O17" s="56" t="s">
        <v>186</v>
      </c>
      <c r="P17" s="55">
        <v>332430.28999999998</v>
      </c>
      <c r="Q17" s="55">
        <v>618522.24</v>
      </c>
      <c r="R17" s="55">
        <v>0</v>
      </c>
      <c r="S17" s="55">
        <v>0</v>
      </c>
      <c r="T17" s="57">
        <v>0</v>
      </c>
      <c r="U17" s="56" t="s">
        <v>186</v>
      </c>
      <c r="V17" s="55">
        <v>5651568.6500000004</v>
      </c>
      <c r="W17" s="55">
        <v>4213207.0299999993</v>
      </c>
      <c r="X17" s="55">
        <v>527090.64</v>
      </c>
      <c r="Y17" s="55">
        <v>414998.64</v>
      </c>
      <c r="Z17" s="55">
        <v>496272.33999999997</v>
      </c>
      <c r="AA17" s="58">
        <v>592</v>
      </c>
      <c r="AB17" s="58">
        <v>592</v>
      </c>
      <c r="AC17" s="55">
        <v>9546.5686655405407</v>
      </c>
      <c r="AD17" s="56" t="s">
        <v>187</v>
      </c>
      <c r="AE17" s="55">
        <v>60553345.640000008</v>
      </c>
      <c r="AF17" s="55">
        <v>744618</v>
      </c>
      <c r="AG17" s="55">
        <v>47054.16</v>
      </c>
      <c r="AH17" s="55">
        <v>20012</v>
      </c>
      <c r="AI17" s="55">
        <v>110025</v>
      </c>
      <c r="AJ17" s="55">
        <v>661636.80000000005</v>
      </c>
      <c r="AK17" s="55">
        <v>5100581.870000001</v>
      </c>
      <c r="AL17" s="55">
        <v>61193662.439999998</v>
      </c>
      <c r="AM17" s="56" t="s">
        <v>187</v>
      </c>
      <c r="AN17" s="58">
        <v>3146</v>
      </c>
      <c r="AO17" s="58">
        <v>3181</v>
      </c>
      <c r="AP17" s="58">
        <v>4</v>
      </c>
      <c r="AQ17" s="58">
        <v>48</v>
      </c>
      <c r="AR17" s="59">
        <v>0.99818446167031638</v>
      </c>
      <c r="AS17" s="59">
        <v>0.99862959248373573</v>
      </c>
      <c r="AT17" s="59">
        <v>1.2714558169103624E-3</v>
      </c>
      <c r="AU17" s="59">
        <v>1.5257469802924348E-2</v>
      </c>
      <c r="AV17" s="56" t="s">
        <v>187</v>
      </c>
      <c r="AW17" s="55">
        <v>5983998.9400000004</v>
      </c>
      <c r="AX17" s="55">
        <v>-1630202.0700000152</v>
      </c>
      <c r="AY17" s="59">
        <v>-0.37443227570697868</v>
      </c>
      <c r="AZ17" s="55">
        <v>7354.3866047297051</v>
      </c>
      <c r="BA17" s="59">
        <v>1.0926511045872575E-2</v>
      </c>
      <c r="BB17" s="56" t="s">
        <v>128</v>
      </c>
      <c r="BC17" s="55">
        <v>5099471.87</v>
      </c>
      <c r="BD17" s="55">
        <v>1110.0000000009313</v>
      </c>
      <c r="BE17" s="55">
        <v>61214982.440000005</v>
      </c>
      <c r="BF17" s="55">
        <v>-21320.000000007451</v>
      </c>
      <c r="BG17" s="56" t="s">
        <v>154</v>
      </c>
      <c r="BH17" s="56" t="s">
        <v>155</v>
      </c>
    </row>
    <row r="18" spans="1:60" x14ac:dyDescent="0.3">
      <c r="A18" s="54">
        <v>45413</v>
      </c>
      <c r="B18" s="55">
        <v>5030739.1999999993</v>
      </c>
      <c r="C18" s="55">
        <v>4577648.7699999912</v>
      </c>
      <c r="D18" s="55">
        <v>4577648.7699999912</v>
      </c>
      <c r="E18" s="55">
        <v>4983319.6099999947</v>
      </c>
      <c r="F18" s="55">
        <v>674245.62999999989</v>
      </c>
      <c r="G18" s="55">
        <v>698202.76</v>
      </c>
      <c r="H18" s="55">
        <v>-626826.0400000019</v>
      </c>
      <c r="I18" s="56" t="s">
        <v>185</v>
      </c>
      <c r="J18" s="55">
        <v>15905703.23</v>
      </c>
      <c r="K18" s="55">
        <v>5030739.2</v>
      </c>
      <c r="L18" s="55">
        <v>4577648.7699999996</v>
      </c>
      <c r="M18" s="55">
        <v>16358793.66</v>
      </c>
      <c r="N18" s="55">
        <v>0</v>
      </c>
      <c r="O18" s="56" t="s">
        <v>186</v>
      </c>
      <c r="P18" s="55">
        <v>763558.66999999981</v>
      </c>
      <c r="Q18" s="55">
        <v>396039.98999999993</v>
      </c>
      <c r="R18" s="55">
        <v>0</v>
      </c>
      <c r="S18" s="55">
        <v>0</v>
      </c>
      <c r="T18" s="57">
        <v>0</v>
      </c>
      <c r="U18" s="56" t="s">
        <v>186</v>
      </c>
      <c r="V18" s="55">
        <v>5807352.8200000003</v>
      </c>
      <c r="W18" s="55">
        <v>4330253.45</v>
      </c>
      <c r="X18" s="55">
        <v>542295.65</v>
      </c>
      <c r="Y18" s="55">
        <v>425381.74</v>
      </c>
      <c r="Z18" s="55">
        <v>509421.98</v>
      </c>
      <c r="AA18" s="58">
        <v>609</v>
      </c>
      <c r="AB18" s="58">
        <v>609</v>
      </c>
      <c r="AC18" s="55">
        <v>9535.8831198686385</v>
      </c>
      <c r="AD18" s="56" t="s">
        <v>187</v>
      </c>
      <c r="AE18" s="55">
        <v>61214982.44000002</v>
      </c>
      <c r="AF18" s="55">
        <v>775523</v>
      </c>
      <c r="AG18" s="55">
        <v>37050.839999999997</v>
      </c>
      <c r="AH18" s="55">
        <v>12187</v>
      </c>
      <c r="AI18" s="55">
        <v>228885</v>
      </c>
      <c r="AJ18" s="55">
        <v>571701.55999999994</v>
      </c>
      <c r="AK18" s="55">
        <v>5148207.0000000056</v>
      </c>
      <c r="AL18" s="55">
        <v>61762484.000000015</v>
      </c>
      <c r="AM18" s="56" t="s">
        <v>187</v>
      </c>
      <c r="AN18" s="58">
        <v>3191</v>
      </c>
      <c r="AO18" s="58">
        <v>3216</v>
      </c>
      <c r="AP18" s="58">
        <v>6</v>
      </c>
      <c r="AQ18" s="58">
        <v>41</v>
      </c>
      <c r="AR18" s="59">
        <v>0.99639022488952611</v>
      </c>
      <c r="AS18" s="59">
        <v>0.99666713160948828</v>
      </c>
      <c r="AT18" s="59">
        <v>1.880288310874334E-3</v>
      </c>
      <c r="AU18" s="59">
        <v>1.2848636790974616E-2</v>
      </c>
      <c r="AV18" s="56" t="s">
        <v>187</v>
      </c>
      <c r="AW18" s="55">
        <v>6570911.4900000002</v>
      </c>
      <c r="AX18" s="55">
        <v>-1993262.7200000091</v>
      </c>
      <c r="AY18" s="59">
        <v>-0.43543373905464855</v>
      </c>
      <c r="AZ18" s="55">
        <v>7516.6646469622183</v>
      </c>
      <c r="BA18" s="59">
        <v>9.339242407859126E-3</v>
      </c>
      <c r="BB18" s="56" t="s">
        <v>128</v>
      </c>
      <c r="BC18" s="55">
        <v>5146873.6666666679</v>
      </c>
      <c r="BD18" s="55">
        <v>1333.3333333376795</v>
      </c>
      <c r="BE18" s="55">
        <v>61786684.000000022</v>
      </c>
      <c r="BF18" s="55">
        <v>-24200.000000007451</v>
      </c>
      <c r="BG18" s="56" t="s">
        <v>154</v>
      </c>
      <c r="BH18" s="56" t="s">
        <v>155</v>
      </c>
    </row>
    <row r="19" spans="1:60" x14ac:dyDescent="0.3">
      <c r="A19" s="54">
        <v>45444</v>
      </c>
      <c r="B19" s="55">
        <v>5437912.8200000022</v>
      </c>
      <c r="C19" s="55">
        <v>4545473.449999989</v>
      </c>
      <c r="D19" s="55">
        <v>4545473.449999989</v>
      </c>
      <c r="E19" s="55">
        <v>4880432.2100000009</v>
      </c>
      <c r="F19" s="55">
        <v>1190648.8500000001</v>
      </c>
      <c r="G19" s="55">
        <v>1205625.3699999999</v>
      </c>
      <c r="H19" s="55">
        <v>-633168.23999999743</v>
      </c>
      <c r="I19" s="56" t="s">
        <v>185</v>
      </c>
      <c r="J19" s="55">
        <v>16358793.66</v>
      </c>
      <c r="K19" s="55">
        <v>5437912.8200000003</v>
      </c>
      <c r="L19" s="55">
        <v>4545473.45</v>
      </c>
      <c r="M19" s="55">
        <v>17251233.030000001</v>
      </c>
      <c r="N19" s="55">
        <v>0</v>
      </c>
      <c r="O19" s="56" t="s">
        <v>186</v>
      </c>
      <c r="P19" s="55">
        <v>494151.43999999994</v>
      </c>
      <c r="Q19" s="55">
        <v>523242.62</v>
      </c>
      <c r="R19" s="55">
        <v>0</v>
      </c>
      <c r="S19" s="55">
        <v>0</v>
      </c>
      <c r="T19" s="57">
        <v>0</v>
      </c>
      <c r="U19" s="56" t="s">
        <v>186</v>
      </c>
      <c r="V19" s="55">
        <v>5904117.4299999997</v>
      </c>
      <c r="W19" s="55">
        <v>4401111.9000000004</v>
      </c>
      <c r="X19" s="55">
        <v>552201.92999999993</v>
      </c>
      <c r="Y19" s="55">
        <v>432244.42000000004</v>
      </c>
      <c r="Z19" s="55">
        <v>518559.18000000005</v>
      </c>
      <c r="AA19" s="58">
        <v>621</v>
      </c>
      <c r="AB19" s="58">
        <v>621</v>
      </c>
      <c r="AC19" s="55">
        <v>9507.4354750402563</v>
      </c>
      <c r="AD19" s="56" t="s">
        <v>187</v>
      </c>
      <c r="AE19" s="55">
        <v>61786684.00000003</v>
      </c>
      <c r="AF19" s="55">
        <v>485589</v>
      </c>
      <c r="AG19" s="55">
        <v>71013.599999999991</v>
      </c>
      <c r="AH19" s="55">
        <v>8678</v>
      </c>
      <c r="AI19" s="55">
        <v>35952</v>
      </c>
      <c r="AJ19" s="55">
        <v>511972.92000000004</v>
      </c>
      <c r="AK19" s="55">
        <v>5190871.4100000029</v>
      </c>
      <c r="AL19" s="55">
        <v>62270568.920000024</v>
      </c>
      <c r="AM19" s="56" t="s">
        <v>187</v>
      </c>
      <c r="AN19" s="58">
        <v>3227</v>
      </c>
      <c r="AO19" s="58">
        <v>3248</v>
      </c>
      <c r="AP19" s="58">
        <v>3</v>
      </c>
      <c r="AQ19" s="58">
        <v>35</v>
      </c>
      <c r="AR19" s="59">
        <v>0.99960298824257987</v>
      </c>
      <c r="AS19" s="59">
        <v>1.0004270104542266</v>
      </c>
      <c r="AT19" s="59">
        <v>9.2965602726991013E-4</v>
      </c>
      <c r="AU19" s="59">
        <v>1.0845986984815618E-2</v>
      </c>
      <c r="AV19" s="56" t="s">
        <v>187</v>
      </c>
      <c r="AW19" s="55">
        <v>6398268.8699999992</v>
      </c>
      <c r="AX19" s="55">
        <v>-1852795.4200000102</v>
      </c>
      <c r="AY19" s="59">
        <v>-0.40761329713630046</v>
      </c>
      <c r="AZ19" s="55">
        <v>7319.602979066005</v>
      </c>
      <c r="BA19" s="59">
        <v>8.2861368640530994E-3</v>
      </c>
      <c r="BB19" s="56" t="s">
        <v>128</v>
      </c>
      <c r="BC19" s="55">
        <v>5189214.076666669</v>
      </c>
      <c r="BD19" s="55">
        <v>1657.3333333339542</v>
      </c>
      <c r="BE19" s="55">
        <v>62298656.920000032</v>
      </c>
      <c r="BF19" s="55">
        <v>-28088.000000007451</v>
      </c>
      <c r="BG19" s="56" t="s">
        <v>154</v>
      </c>
      <c r="BH19" s="56" t="s">
        <v>155</v>
      </c>
    </row>
    <row r="20" spans="1:60" x14ac:dyDescent="0.3">
      <c r="A20" s="54">
        <v>45474</v>
      </c>
      <c r="B20" s="55">
        <v>4702916.7400000021</v>
      </c>
      <c r="C20" s="55">
        <v>4719176.0399999805</v>
      </c>
      <c r="D20" s="55">
        <v>4719176.0399999805</v>
      </c>
      <c r="E20" s="55">
        <v>4303373.3800000018</v>
      </c>
      <c r="F20" s="55">
        <v>955983.03000000061</v>
      </c>
      <c r="G20" s="55">
        <v>971534.29000000074</v>
      </c>
      <c r="H20" s="55">
        <v>-556439.66999999527</v>
      </c>
      <c r="I20" s="56" t="s">
        <v>185</v>
      </c>
      <c r="J20" s="55">
        <v>17251233.030000001</v>
      </c>
      <c r="K20" s="55">
        <v>4702916.74</v>
      </c>
      <c r="L20" s="55">
        <v>4719176.04</v>
      </c>
      <c r="M20" s="55">
        <v>17234973.729999997</v>
      </c>
      <c r="N20" s="55">
        <v>0</v>
      </c>
      <c r="O20" s="56" t="s">
        <v>186</v>
      </c>
      <c r="P20" s="55">
        <v>416497.7300000001</v>
      </c>
      <c r="Q20" s="55">
        <v>531440.17000000004</v>
      </c>
      <c r="R20" s="55">
        <v>0</v>
      </c>
      <c r="S20" s="55">
        <v>0</v>
      </c>
      <c r="T20" s="57">
        <v>0</v>
      </c>
      <c r="U20" s="56" t="s">
        <v>186</v>
      </c>
      <c r="V20" s="55">
        <v>5952167.6600000001</v>
      </c>
      <c r="W20" s="55">
        <v>4436984.25</v>
      </c>
      <c r="X20" s="55">
        <v>555682.32000000007</v>
      </c>
      <c r="Y20" s="55">
        <v>436360.97</v>
      </c>
      <c r="Z20" s="55">
        <v>523140.12</v>
      </c>
      <c r="AA20" s="58">
        <v>626</v>
      </c>
      <c r="AB20" s="58">
        <v>626</v>
      </c>
      <c r="AC20" s="55">
        <v>9508.2550479233232</v>
      </c>
      <c r="AD20" s="56" t="s">
        <v>187</v>
      </c>
      <c r="AE20" s="55">
        <v>62298656.920000009</v>
      </c>
      <c r="AF20" s="55">
        <v>1082914</v>
      </c>
      <c r="AG20" s="55">
        <v>73558.720000000001</v>
      </c>
      <c r="AH20" s="55">
        <v>9750</v>
      </c>
      <c r="AI20" s="55">
        <v>37440</v>
      </c>
      <c r="AJ20" s="55">
        <v>1109484.56</v>
      </c>
      <c r="AK20" s="55">
        <v>5283286.7900000038</v>
      </c>
      <c r="AL20" s="55">
        <v>63375553.480000012</v>
      </c>
      <c r="AM20" s="56" t="s">
        <v>187</v>
      </c>
      <c r="AN20" s="58">
        <v>3260</v>
      </c>
      <c r="AO20" s="58">
        <v>3299</v>
      </c>
      <c r="AP20" s="58">
        <v>2</v>
      </c>
      <c r="AQ20" s="58">
        <v>53</v>
      </c>
      <c r="AR20" s="59">
        <v>0.99956517072214268</v>
      </c>
      <c r="AS20" s="59">
        <v>1.0004232746146335</v>
      </c>
      <c r="AT20" s="59">
        <v>6.1349693251533746E-4</v>
      </c>
      <c r="AU20" s="59">
        <v>1.6257668711656442E-2</v>
      </c>
      <c r="AV20" s="56" t="s">
        <v>187</v>
      </c>
      <c r="AW20" s="55">
        <v>6368665.3900000006</v>
      </c>
      <c r="AX20" s="55">
        <v>-1649489.3500000201</v>
      </c>
      <c r="AY20" s="59">
        <v>-0.3495290991518144</v>
      </c>
      <c r="AZ20" s="55">
        <v>7538.6198722044419</v>
      </c>
      <c r="BA20" s="59">
        <v>1.7809124864838256E-2</v>
      </c>
      <c r="BB20" s="56" t="s">
        <v>128</v>
      </c>
      <c r="BC20" s="55">
        <v>5281296.123333334</v>
      </c>
      <c r="BD20" s="55">
        <v>1990.6666666697711</v>
      </c>
      <c r="BE20" s="55">
        <v>63408141.480000012</v>
      </c>
      <c r="BF20" s="55">
        <v>-32588</v>
      </c>
      <c r="BG20" s="56" t="s">
        <v>154</v>
      </c>
      <c r="BH20" s="56" t="s">
        <v>155</v>
      </c>
    </row>
    <row r="21" spans="1:60" x14ac:dyDescent="0.3">
      <c r="A21" s="54">
        <v>45505</v>
      </c>
      <c r="B21" s="55">
        <v>5640520.8799999971</v>
      </c>
      <c r="C21" s="55">
        <v>4843681.579999974</v>
      </c>
      <c r="D21" s="55">
        <v>4843681.579999974</v>
      </c>
      <c r="E21" s="55">
        <v>5408493.8299999991</v>
      </c>
      <c r="F21" s="55">
        <v>936650.06</v>
      </c>
      <c r="G21" s="55">
        <v>950379.83</v>
      </c>
      <c r="H21" s="55">
        <v>-704623.01000000257</v>
      </c>
      <c r="I21" s="56" t="s">
        <v>185</v>
      </c>
      <c r="J21" s="55">
        <v>17234973.73</v>
      </c>
      <c r="K21" s="55">
        <v>5640520.8800000008</v>
      </c>
      <c r="L21" s="55">
        <v>4843681.58</v>
      </c>
      <c r="M21" s="55">
        <v>18031813.029999997</v>
      </c>
      <c r="N21" s="55">
        <v>0</v>
      </c>
      <c r="O21" s="56" t="s">
        <v>186</v>
      </c>
      <c r="P21" s="55">
        <v>506831.55</v>
      </c>
      <c r="Q21" s="55">
        <v>363636.43</v>
      </c>
      <c r="R21" s="55">
        <v>0</v>
      </c>
      <c r="S21" s="55">
        <v>0</v>
      </c>
      <c r="T21" s="57">
        <v>0</v>
      </c>
      <c r="U21" s="56" t="s">
        <v>186</v>
      </c>
      <c r="V21" s="55">
        <v>6093331.830000001</v>
      </c>
      <c r="W21" s="55">
        <v>4542218.26</v>
      </c>
      <c r="X21" s="55">
        <v>568210.53</v>
      </c>
      <c r="Y21" s="55">
        <v>446889.38000000006</v>
      </c>
      <c r="Z21" s="55">
        <v>536013.66</v>
      </c>
      <c r="AA21" s="58">
        <v>636</v>
      </c>
      <c r="AB21" s="58">
        <v>636</v>
      </c>
      <c r="AC21" s="55">
        <v>9580.7104245283026</v>
      </c>
      <c r="AD21" s="56" t="s">
        <v>187</v>
      </c>
      <c r="AE21" s="55">
        <v>63408141.479999959</v>
      </c>
      <c r="AF21" s="55">
        <v>1045310</v>
      </c>
      <c r="AG21" s="55">
        <v>23225.16</v>
      </c>
      <c r="AH21" s="55">
        <v>2978</v>
      </c>
      <c r="AI21" s="55">
        <v>60877</v>
      </c>
      <c r="AJ21" s="55">
        <v>1004780.2000000002</v>
      </c>
      <c r="AK21" s="55">
        <v>5367010.1400000015</v>
      </c>
      <c r="AL21" s="55">
        <v>64380333.67999997</v>
      </c>
      <c r="AM21" s="56" t="s">
        <v>187</v>
      </c>
      <c r="AN21" s="58">
        <v>3312</v>
      </c>
      <c r="AO21" s="58">
        <v>3350</v>
      </c>
      <c r="AP21" s="58">
        <v>3</v>
      </c>
      <c r="AQ21" s="58">
        <v>54</v>
      </c>
      <c r="AR21" s="59">
        <v>0.99930994287202379</v>
      </c>
      <c r="AS21" s="59">
        <v>0.99935922928741239</v>
      </c>
      <c r="AT21" s="59">
        <v>9.0579710144927537E-4</v>
      </c>
      <c r="AU21" s="59">
        <v>1.6304347826086956E-2</v>
      </c>
      <c r="AV21" s="56" t="s">
        <v>187</v>
      </c>
      <c r="AW21" s="55">
        <v>6600163.3800000008</v>
      </c>
      <c r="AX21" s="55">
        <v>-1756481.8000000268</v>
      </c>
      <c r="AY21" s="59">
        <v>-0.36263362299716578</v>
      </c>
      <c r="AZ21" s="55">
        <v>7615.8515408804624</v>
      </c>
      <c r="BA21" s="59">
        <v>1.5846233252506312E-2</v>
      </c>
      <c r="BB21" s="56" t="s">
        <v>128</v>
      </c>
      <c r="BC21" s="55">
        <v>5365027.8066666638</v>
      </c>
      <c r="BD21" s="55">
        <v>1982.3333333376795</v>
      </c>
      <c r="BE21" s="55">
        <v>64412921.679999962</v>
      </c>
      <c r="BF21" s="55">
        <v>-32587.999999992549</v>
      </c>
      <c r="BG21" s="56" t="s">
        <v>154</v>
      </c>
      <c r="BH21" s="56" t="s">
        <v>155</v>
      </c>
    </row>
    <row r="22" spans="1:60" x14ac:dyDescent="0.3">
      <c r="A22" s="54">
        <v>45536</v>
      </c>
      <c r="B22" s="55">
        <v>4991906.8899999978</v>
      </c>
      <c r="C22" s="55">
        <v>4818006.6699999897</v>
      </c>
      <c r="D22" s="55">
        <v>4818006.6699999897</v>
      </c>
      <c r="E22" s="55">
        <v>4555805.32</v>
      </c>
      <c r="F22" s="55">
        <v>987629.2200000002</v>
      </c>
      <c r="G22" s="55">
        <v>995200.12000000034</v>
      </c>
      <c r="H22" s="55">
        <v>-551527.64999999851</v>
      </c>
      <c r="I22" s="56" t="s">
        <v>188</v>
      </c>
      <c r="J22" s="55">
        <v>18031813.030000001</v>
      </c>
      <c r="K22" s="55">
        <v>4991906.8900000006</v>
      </c>
      <c r="L22" s="55">
        <v>4818006.67</v>
      </c>
      <c r="M22" s="55">
        <v>18205713.25</v>
      </c>
      <c r="N22" s="55">
        <v>0</v>
      </c>
      <c r="O22" s="56" t="s">
        <v>186</v>
      </c>
      <c r="P22" s="55">
        <v>561291</v>
      </c>
      <c r="Q22" s="55">
        <v>433237.94000000006</v>
      </c>
      <c r="R22" s="55">
        <v>0</v>
      </c>
      <c r="S22" s="55">
        <v>0</v>
      </c>
      <c r="T22" s="57">
        <v>0</v>
      </c>
      <c r="U22" s="56" t="s">
        <v>186</v>
      </c>
      <c r="V22" s="55">
        <v>6263049.2199999997</v>
      </c>
      <c r="W22" s="55">
        <v>4671877.5399999991</v>
      </c>
      <c r="X22" s="55">
        <v>580670.68999999994</v>
      </c>
      <c r="Y22" s="55">
        <v>461386.65</v>
      </c>
      <c r="Z22" s="55">
        <v>549114.34000000008</v>
      </c>
      <c r="AA22" s="58">
        <v>648</v>
      </c>
      <c r="AB22" s="58">
        <v>648</v>
      </c>
      <c r="AC22" s="55">
        <v>9665.199413580247</v>
      </c>
      <c r="AD22" s="56" t="s">
        <v>187</v>
      </c>
      <c r="AE22" s="55">
        <v>64412921.67999997</v>
      </c>
      <c r="AF22" s="55">
        <v>956792</v>
      </c>
      <c r="AG22" s="55">
        <v>30315.119999999999</v>
      </c>
      <c r="AH22" s="55">
        <v>15470</v>
      </c>
      <c r="AI22" s="55">
        <v>132687</v>
      </c>
      <c r="AJ22" s="55">
        <v>838950.96000000008</v>
      </c>
      <c r="AK22" s="55">
        <v>5436922.7200000025</v>
      </c>
      <c r="AL22" s="55">
        <v>65228976.639999971</v>
      </c>
      <c r="AM22" s="56" t="s">
        <v>187</v>
      </c>
      <c r="AN22" s="58">
        <v>3363</v>
      </c>
      <c r="AO22" s="58">
        <v>3395</v>
      </c>
      <c r="AP22" s="58">
        <v>6</v>
      </c>
      <c r="AQ22" s="58">
        <v>51</v>
      </c>
      <c r="AR22" s="59">
        <v>0.99822432647026604</v>
      </c>
      <c r="AS22" s="59">
        <v>0.99817053477894635</v>
      </c>
      <c r="AT22" s="59">
        <v>1.7841213202497771E-3</v>
      </c>
      <c r="AU22" s="59">
        <v>1.5165031222123104E-2</v>
      </c>
      <c r="AV22" s="56" t="s">
        <v>187</v>
      </c>
      <c r="AW22" s="55">
        <v>6824340.2199999997</v>
      </c>
      <c r="AX22" s="55">
        <v>-2006333.5500000101</v>
      </c>
      <c r="AY22" s="59">
        <v>-0.41642398764051825</v>
      </c>
      <c r="AZ22" s="55">
        <v>7435.1954783950459</v>
      </c>
      <c r="BA22" s="59">
        <v>1.3024575475210775E-2</v>
      </c>
      <c r="BB22" s="56" t="s">
        <v>128</v>
      </c>
      <c r="BC22" s="55">
        <v>5435748.0533333309</v>
      </c>
      <c r="BD22" s="55">
        <v>1174.6666666716337</v>
      </c>
      <c r="BE22" s="55">
        <v>65251872.639999971</v>
      </c>
      <c r="BF22" s="55">
        <v>-22896</v>
      </c>
      <c r="BG22" s="56" t="s">
        <v>154</v>
      </c>
      <c r="BH22" s="56" t="s">
        <v>155</v>
      </c>
    </row>
    <row r="23" spans="1:60" x14ac:dyDescent="0.3">
      <c r="A23" s="54">
        <v>45566</v>
      </c>
      <c r="B23" s="55">
        <v>5203544.1399999997</v>
      </c>
      <c r="C23" s="55">
        <v>5019155.3099999772</v>
      </c>
      <c r="D23" s="55">
        <v>5019155.3099999772</v>
      </c>
      <c r="E23" s="55">
        <v>4667284.0000000009</v>
      </c>
      <c r="F23" s="55">
        <v>1136940.0000000005</v>
      </c>
      <c r="G23" s="55">
        <v>1146166.7900000005</v>
      </c>
      <c r="H23" s="55">
        <v>-600679.85999999288</v>
      </c>
      <c r="I23" s="56" t="s">
        <v>185</v>
      </c>
      <c r="J23" s="55">
        <v>18205713.25</v>
      </c>
      <c r="K23" s="55">
        <v>5203544.1399999997</v>
      </c>
      <c r="L23" s="55">
        <v>5019155.3099999996</v>
      </c>
      <c r="M23" s="55">
        <v>18390102.079999998</v>
      </c>
      <c r="N23" s="55">
        <v>0</v>
      </c>
      <c r="O23" s="56" t="s">
        <v>186</v>
      </c>
      <c r="P23" s="55">
        <v>489023.43</v>
      </c>
      <c r="Q23" s="55">
        <v>572155.3600000001</v>
      </c>
      <c r="R23" s="55">
        <v>0</v>
      </c>
      <c r="S23" s="55">
        <v>0</v>
      </c>
      <c r="T23" s="57">
        <v>0</v>
      </c>
      <c r="U23" s="56" t="s">
        <v>186</v>
      </c>
      <c r="V23" s="55">
        <v>6330825.9299999997</v>
      </c>
      <c r="W23" s="55">
        <v>4726672.4800000004</v>
      </c>
      <c r="X23" s="55">
        <v>583845.99</v>
      </c>
      <c r="Y23" s="55">
        <v>465903.13999999996</v>
      </c>
      <c r="Z23" s="55">
        <v>554404.31999999995</v>
      </c>
      <c r="AA23" s="58">
        <v>666</v>
      </c>
      <c r="AB23" s="58">
        <v>666</v>
      </c>
      <c r="AC23" s="55">
        <v>9505.744639639639</v>
      </c>
      <c r="AD23" s="56" t="s">
        <v>187</v>
      </c>
      <c r="AE23" s="55">
        <v>65251872.639999986</v>
      </c>
      <c r="AF23" s="55">
        <v>866943</v>
      </c>
      <c r="AG23" s="55">
        <v>30100.799999999999</v>
      </c>
      <c r="AH23" s="55">
        <v>28368</v>
      </c>
      <c r="AI23" s="55">
        <v>55092</v>
      </c>
      <c r="AJ23" s="55">
        <v>813683.59999999986</v>
      </c>
      <c r="AK23" s="55">
        <v>5504713.0200000042</v>
      </c>
      <c r="AL23" s="55">
        <v>66038137.79999999</v>
      </c>
      <c r="AM23" s="56" t="s">
        <v>187</v>
      </c>
      <c r="AN23" s="58">
        <v>3410</v>
      </c>
      <c r="AO23" s="58">
        <v>3446</v>
      </c>
      <c r="AP23" s="58">
        <v>3</v>
      </c>
      <c r="AQ23" s="58">
        <v>53</v>
      </c>
      <c r="AR23" s="59">
        <v>0.99933445588236824</v>
      </c>
      <c r="AS23" s="59">
        <v>0.99918228001984877</v>
      </c>
      <c r="AT23" s="59">
        <v>8.7976539589442815E-4</v>
      </c>
      <c r="AU23" s="59">
        <v>1.5542521994134898E-2</v>
      </c>
      <c r="AV23" s="56" t="s">
        <v>187</v>
      </c>
      <c r="AW23" s="55">
        <v>6819849.3599999994</v>
      </c>
      <c r="AX23" s="55">
        <v>-1800694.0500000222</v>
      </c>
      <c r="AY23" s="59">
        <v>-0.35876436148775603</v>
      </c>
      <c r="AZ23" s="55">
        <v>7536.2692342341998</v>
      </c>
      <c r="BA23" s="59">
        <v>1.2469888864173446E-2</v>
      </c>
      <c r="BB23" s="56" t="s">
        <v>128</v>
      </c>
      <c r="BC23" s="55">
        <v>5503178.1499999994</v>
      </c>
      <c r="BD23" s="55">
        <v>1534.8700000047684</v>
      </c>
      <c r="BE23" s="55">
        <v>66065556.239999987</v>
      </c>
      <c r="BF23" s="55">
        <v>-27418.439999997616</v>
      </c>
      <c r="BG23" s="56" t="s">
        <v>154</v>
      </c>
      <c r="BH23" s="56" t="s">
        <v>155</v>
      </c>
    </row>
    <row r="24" spans="1:60" x14ac:dyDescent="0.3">
      <c r="A24" s="54">
        <v>45597</v>
      </c>
      <c r="B24" s="55">
        <v>4280720.1700000018</v>
      </c>
      <c r="C24" s="55">
        <v>4987826.0699999928</v>
      </c>
      <c r="D24" s="55">
        <v>4987826.0699999928</v>
      </c>
      <c r="E24" s="55">
        <v>3929969.4799999981</v>
      </c>
      <c r="F24" s="55">
        <v>825424.13000000012</v>
      </c>
      <c r="G24" s="55">
        <v>832101.14000000013</v>
      </c>
      <c r="H24" s="55">
        <v>-474673.43999999948</v>
      </c>
      <c r="I24" s="56" t="s">
        <v>188</v>
      </c>
      <c r="J24" s="55">
        <v>18390102.080000002</v>
      </c>
      <c r="K24" s="55">
        <v>4280720.17</v>
      </c>
      <c r="L24" s="55">
        <v>4987826.07</v>
      </c>
      <c r="M24" s="55">
        <v>17682996.18</v>
      </c>
      <c r="N24" s="55">
        <v>0</v>
      </c>
      <c r="O24" s="56" t="s">
        <v>186</v>
      </c>
      <c r="P24" s="55">
        <v>720788.67</v>
      </c>
      <c r="Q24" s="55">
        <v>489690.52999999997</v>
      </c>
      <c r="R24" s="55">
        <v>0</v>
      </c>
      <c r="S24" s="55">
        <v>0</v>
      </c>
      <c r="T24" s="57">
        <v>0</v>
      </c>
      <c r="U24" s="56" t="s">
        <v>186</v>
      </c>
      <c r="V24" s="55">
        <v>6383200.4299999997</v>
      </c>
      <c r="W24" s="55">
        <v>4765888.18</v>
      </c>
      <c r="X24" s="55">
        <v>586273.74</v>
      </c>
      <c r="Y24" s="55">
        <v>470398.05</v>
      </c>
      <c r="Z24" s="55">
        <v>560640.46</v>
      </c>
      <c r="AA24" s="58">
        <v>676</v>
      </c>
      <c r="AB24" s="58">
        <v>676</v>
      </c>
      <c r="AC24" s="55">
        <v>9442.604186390532</v>
      </c>
      <c r="AD24" s="56" t="s">
        <v>187</v>
      </c>
      <c r="AE24" s="55">
        <v>66065556.239999972</v>
      </c>
      <c r="AF24" s="55">
        <v>464958</v>
      </c>
      <c r="AG24" s="55">
        <v>82489.56</v>
      </c>
      <c r="AH24" s="55">
        <v>1907</v>
      </c>
      <c r="AI24" s="55">
        <v>71196</v>
      </c>
      <c r="AJ24" s="55">
        <v>655678.19999999995</v>
      </c>
      <c r="AK24" s="55">
        <v>5559327.8700000038</v>
      </c>
      <c r="AL24" s="55">
        <v>66693815.999999963</v>
      </c>
      <c r="AM24" s="56" t="s">
        <v>187</v>
      </c>
      <c r="AN24" s="58">
        <v>3462</v>
      </c>
      <c r="AO24" s="58">
        <v>3476</v>
      </c>
      <c r="AP24" s="58">
        <v>4</v>
      </c>
      <c r="AQ24" s="58">
        <v>34</v>
      </c>
      <c r="AR24" s="59">
        <v>0.9994993990532699</v>
      </c>
      <c r="AS24" s="59">
        <v>1.0028822789186582</v>
      </c>
      <c r="AT24" s="59">
        <v>1.1554015020219526E-3</v>
      </c>
      <c r="AU24" s="59">
        <v>9.8209127671865966E-3</v>
      </c>
      <c r="AV24" s="56" t="s">
        <v>187</v>
      </c>
      <c r="AW24" s="55">
        <v>7103989.0999999996</v>
      </c>
      <c r="AX24" s="55">
        <v>-2116163.0300000068</v>
      </c>
      <c r="AY24" s="59">
        <v>-0.4242656019479063</v>
      </c>
      <c r="AZ24" s="55">
        <v>7378.4409319526521</v>
      </c>
      <c r="BA24" s="59">
        <v>9.9246602513733753E-3</v>
      </c>
      <c r="BB24" s="56" t="s">
        <v>128</v>
      </c>
      <c r="BC24" s="55">
        <v>5557817.9999999972</v>
      </c>
      <c r="BD24" s="55">
        <v>1509.870000006631</v>
      </c>
      <c r="BE24" s="55">
        <v>66721234.439999975</v>
      </c>
      <c r="BF24" s="55">
        <v>-27418.440000012517</v>
      </c>
      <c r="BG24" s="56" t="s">
        <v>154</v>
      </c>
      <c r="BH24" s="56" t="s">
        <v>155</v>
      </c>
    </row>
    <row r="25" spans="1:60" x14ac:dyDescent="0.3">
      <c r="A25" s="54">
        <v>45627</v>
      </c>
      <c r="B25" s="55">
        <v>5398544.8399999999</v>
      </c>
      <c r="C25" s="55">
        <v>5167534.5799999647</v>
      </c>
      <c r="D25" s="55">
        <v>5167534.5799999647</v>
      </c>
      <c r="E25" s="55">
        <v>5101061.6299999971</v>
      </c>
      <c r="F25" s="55">
        <v>917571.61</v>
      </c>
      <c r="G25" s="55">
        <v>925259.56000000017</v>
      </c>
      <c r="H25" s="55">
        <v>-620088.39999999572</v>
      </c>
      <c r="I25" s="56" t="s">
        <v>185</v>
      </c>
      <c r="J25" s="55">
        <v>17682996.18</v>
      </c>
      <c r="K25" s="55">
        <v>5398544.8399999999</v>
      </c>
      <c r="L25" s="55">
        <v>5167534.58</v>
      </c>
      <c r="M25" s="55">
        <v>17914006.439999998</v>
      </c>
      <c r="N25" s="55">
        <v>0</v>
      </c>
      <c r="O25" s="56" t="s">
        <v>186</v>
      </c>
      <c r="P25" s="55">
        <v>674099.77</v>
      </c>
      <c r="Q25" s="55">
        <v>502100.68</v>
      </c>
      <c r="R25" s="55">
        <v>0</v>
      </c>
      <c r="S25" s="55">
        <v>0</v>
      </c>
      <c r="T25" s="57">
        <v>0</v>
      </c>
      <c r="U25" s="56" t="s">
        <v>186</v>
      </c>
      <c r="V25" s="55">
        <v>6471488.5699999994</v>
      </c>
      <c r="W25" s="55">
        <v>4830372.83</v>
      </c>
      <c r="X25" s="55">
        <v>594090.38</v>
      </c>
      <c r="Y25" s="55">
        <v>476497.23</v>
      </c>
      <c r="Z25" s="55">
        <v>570528.12999999989</v>
      </c>
      <c r="AA25" s="58">
        <v>685</v>
      </c>
      <c r="AB25" s="58">
        <v>685</v>
      </c>
      <c r="AC25" s="55">
        <v>9447.4285693430647</v>
      </c>
      <c r="AD25" s="56" t="s">
        <v>187</v>
      </c>
      <c r="AE25" s="55">
        <v>66721234.439999953</v>
      </c>
      <c r="AF25" s="55">
        <v>563363</v>
      </c>
      <c r="AG25" s="55">
        <v>21888.239999999998</v>
      </c>
      <c r="AH25" s="55">
        <v>9229</v>
      </c>
      <c r="AI25" s="55">
        <v>88968</v>
      </c>
      <c r="AJ25" s="55">
        <v>652519.92000000004</v>
      </c>
      <c r="AK25" s="55">
        <v>5613704.5300000068</v>
      </c>
      <c r="AL25" s="55">
        <v>67346335.919999972</v>
      </c>
      <c r="AM25" s="56" t="s">
        <v>187</v>
      </c>
      <c r="AN25" s="58">
        <v>3492</v>
      </c>
      <c r="AO25" s="58">
        <v>3512</v>
      </c>
      <c r="AP25" s="58">
        <v>5</v>
      </c>
      <c r="AQ25" s="58">
        <v>41</v>
      </c>
      <c r="AR25" s="59">
        <v>0.99912821217280812</v>
      </c>
      <c r="AS25" s="59">
        <v>1.0013362612479866</v>
      </c>
      <c r="AT25" s="59">
        <v>1.4318442153493699E-3</v>
      </c>
      <c r="AU25" s="59">
        <v>1.1741122565864834E-2</v>
      </c>
      <c r="AV25" s="56" t="s">
        <v>187</v>
      </c>
      <c r="AW25" s="55">
        <v>7145588.3399999999</v>
      </c>
      <c r="AX25" s="55">
        <v>-1978053.7600000352</v>
      </c>
      <c r="AY25" s="59">
        <v>-0.38278481341097259</v>
      </c>
      <c r="AZ25" s="55">
        <v>7543.8461021897292</v>
      </c>
      <c r="BA25" s="59">
        <v>9.7797938763676227E-3</v>
      </c>
      <c r="BB25" s="56" t="s">
        <v>128</v>
      </c>
      <c r="BC25" s="55">
        <v>5612194.6599999974</v>
      </c>
      <c r="BD25" s="55">
        <v>1509.870000009425</v>
      </c>
      <c r="BE25" s="55">
        <v>67373754.359999955</v>
      </c>
      <c r="BF25" s="55">
        <v>-27418.439999982715</v>
      </c>
      <c r="BG25" s="56" t="s">
        <v>154</v>
      </c>
      <c r="BH25" s="56" t="s">
        <v>155</v>
      </c>
    </row>
    <row r="26" spans="1:60" x14ac:dyDescent="0.3">
      <c r="A26" s="54">
        <v>45658</v>
      </c>
      <c r="B26" s="55">
        <v>6123116.2799999956</v>
      </c>
      <c r="C26" s="55">
        <v>5270030.4499999573</v>
      </c>
      <c r="D26" s="55">
        <v>5270030.4499999573</v>
      </c>
      <c r="E26" s="55">
        <v>5529052.0900000008</v>
      </c>
      <c r="F26" s="55">
        <v>1313240.4999999993</v>
      </c>
      <c r="G26" s="55">
        <v>1322677.7099999993</v>
      </c>
      <c r="H26" s="55">
        <v>-719176.31000000425</v>
      </c>
      <c r="I26" s="56" t="s">
        <v>185</v>
      </c>
      <c r="J26" s="55">
        <v>17914006.439999998</v>
      </c>
      <c r="K26" s="55">
        <v>6123116.2799999993</v>
      </c>
      <c r="L26" s="55">
        <v>5270030.45</v>
      </c>
      <c r="M26" s="55">
        <v>18767092.270000003</v>
      </c>
      <c r="N26" s="55">
        <v>0</v>
      </c>
      <c r="O26" s="56" t="s">
        <v>186</v>
      </c>
      <c r="P26" s="55">
        <v>486151.93</v>
      </c>
      <c r="Q26" s="55">
        <v>776723.52</v>
      </c>
      <c r="R26" s="55">
        <v>0</v>
      </c>
      <c r="S26" s="55">
        <v>0</v>
      </c>
      <c r="T26" s="57">
        <v>0</v>
      </c>
      <c r="U26" s="56" t="s">
        <v>186</v>
      </c>
      <c r="V26" s="55">
        <v>6543292.5699999994</v>
      </c>
      <c r="W26" s="55">
        <v>4885033.5699999994</v>
      </c>
      <c r="X26" s="55">
        <v>599564.27</v>
      </c>
      <c r="Y26" s="55">
        <v>482120.1</v>
      </c>
      <c r="Z26" s="55">
        <v>576574.63</v>
      </c>
      <c r="AA26" s="58">
        <v>695</v>
      </c>
      <c r="AB26" s="58">
        <v>695</v>
      </c>
      <c r="AC26" s="55">
        <v>9414.8094532374089</v>
      </c>
      <c r="AD26" s="56" t="s">
        <v>187</v>
      </c>
      <c r="AE26" s="55">
        <v>67373754.360000029</v>
      </c>
      <c r="AF26" s="55">
        <v>329111</v>
      </c>
      <c r="AG26" s="55">
        <v>76825.08</v>
      </c>
      <c r="AH26" s="55">
        <v>18162</v>
      </c>
      <c r="AI26" s="55">
        <v>32400</v>
      </c>
      <c r="AJ26" s="55">
        <v>549511.96</v>
      </c>
      <c r="AK26" s="55">
        <v>5659488.860000005</v>
      </c>
      <c r="AL26" s="55">
        <v>67895847.880000025</v>
      </c>
      <c r="AM26" s="56" t="s">
        <v>187</v>
      </c>
      <c r="AN26" s="58">
        <v>3528</v>
      </c>
      <c r="AO26" s="58">
        <v>3532</v>
      </c>
      <c r="AP26" s="58">
        <v>4</v>
      </c>
      <c r="AQ26" s="58">
        <v>24</v>
      </c>
      <c r="AR26" s="59">
        <v>0.99984367740672853</v>
      </c>
      <c r="AS26" s="59">
        <v>1.0032698240151925</v>
      </c>
      <c r="AT26" s="59">
        <v>1.1337868480725624E-3</v>
      </c>
      <c r="AU26" s="59">
        <v>6.8027210884353739E-3</v>
      </c>
      <c r="AV26" s="56" t="s">
        <v>187</v>
      </c>
      <c r="AW26" s="55">
        <v>7029444.4999999991</v>
      </c>
      <c r="AX26" s="55">
        <v>-1759414.0500000417</v>
      </c>
      <c r="AY26" s="59">
        <v>-0.33385272944676364</v>
      </c>
      <c r="AZ26" s="55">
        <v>7582.7776258992189</v>
      </c>
      <c r="BA26" s="59">
        <v>8.1561724624069128E-3</v>
      </c>
      <c r="BB26" s="56" t="s">
        <v>128</v>
      </c>
      <c r="BC26" s="55">
        <v>5657987.3233333351</v>
      </c>
      <c r="BD26" s="55">
        <v>1501.5366666698828</v>
      </c>
      <c r="BE26" s="55">
        <v>67923266.320000023</v>
      </c>
      <c r="BF26" s="55">
        <v>-27418.439999997616</v>
      </c>
      <c r="BG26" s="56" t="s">
        <v>154</v>
      </c>
      <c r="BH26" s="56" t="s">
        <v>155</v>
      </c>
    </row>
    <row r="27" spans="1:60" x14ac:dyDescent="0.3">
      <c r="A27" s="54">
        <v>45689</v>
      </c>
      <c r="B27" s="55">
        <v>5473109.7100000018</v>
      </c>
      <c r="C27" s="55">
        <v>4998158.4700000007</v>
      </c>
      <c r="D27" s="55">
        <v>4998158.4700000007</v>
      </c>
      <c r="E27" s="55">
        <v>5119368.9099999927</v>
      </c>
      <c r="F27" s="55">
        <v>1044264.9900000002</v>
      </c>
      <c r="G27" s="55">
        <v>1073375.5000000002</v>
      </c>
      <c r="H27" s="55">
        <v>-690524.18999999389</v>
      </c>
      <c r="I27" s="56" t="s">
        <v>185</v>
      </c>
      <c r="J27" s="55">
        <v>18767092.270000003</v>
      </c>
      <c r="K27" s="55">
        <v>5473109.71</v>
      </c>
      <c r="L27" s="55">
        <v>4998158.47</v>
      </c>
      <c r="M27" s="55">
        <v>19242043.509999998</v>
      </c>
      <c r="N27" s="55">
        <v>0</v>
      </c>
      <c r="O27" s="56" t="s">
        <v>186</v>
      </c>
      <c r="P27" s="55">
        <v>441214.71999999997</v>
      </c>
      <c r="Q27" s="55">
        <v>370720.92999999993</v>
      </c>
      <c r="R27" s="55">
        <v>0</v>
      </c>
      <c r="S27" s="55">
        <v>0</v>
      </c>
      <c r="T27" s="57">
        <v>0</v>
      </c>
      <c r="U27" s="56" t="s">
        <v>186</v>
      </c>
      <c r="V27" s="55">
        <v>6555501.7699999996</v>
      </c>
      <c r="W27" s="55">
        <v>4894236.3199999994</v>
      </c>
      <c r="X27" s="55">
        <v>602050.97</v>
      </c>
      <c r="Y27" s="55">
        <v>482429.08999999997</v>
      </c>
      <c r="Z27" s="55">
        <v>576785.39</v>
      </c>
      <c r="AA27" s="58">
        <v>701</v>
      </c>
      <c r="AB27" s="58">
        <v>701</v>
      </c>
      <c r="AC27" s="55">
        <v>9351.643038516404</v>
      </c>
      <c r="AD27" s="56" t="s">
        <v>187</v>
      </c>
      <c r="AE27" s="55">
        <v>67923266.319999993</v>
      </c>
      <c r="AF27" s="55">
        <v>62946</v>
      </c>
      <c r="AG27" s="55">
        <v>54594.840000000004</v>
      </c>
      <c r="AH27" s="55">
        <v>10194</v>
      </c>
      <c r="AI27" s="55">
        <v>39360</v>
      </c>
      <c r="AJ27" s="55">
        <v>247858.12000000005</v>
      </c>
      <c r="AK27" s="55">
        <v>5680135.3699999992</v>
      </c>
      <c r="AL27" s="55">
        <v>68143605.99999997</v>
      </c>
      <c r="AM27" s="56" t="s">
        <v>187</v>
      </c>
      <c r="AN27" s="58">
        <v>3548</v>
      </c>
      <c r="AO27" s="58">
        <v>3533</v>
      </c>
      <c r="AP27" s="58">
        <v>4</v>
      </c>
      <c r="AQ27" s="58">
        <v>5</v>
      </c>
      <c r="AR27" s="59">
        <v>0.99985978942833642</v>
      </c>
      <c r="AS27" s="59">
        <v>1.0027208885852064</v>
      </c>
      <c r="AT27" s="59">
        <v>1.1273957158962795E-3</v>
      </c>
      <c r="AU27" s="59">
        <v>1.4092446448703494E-3</v>
      </c>
      <c r="AV27" s="56" t="s">
        <v>187</v>
      </c>
      <c r="AW27" s="55">
        <v>6996716.4899999993</v>
      </c>
      <c r="AX27" s="55">
        <v>-1998558.0199999986</v>
      </c>
      <c r="AY27" s="59">
        <v>-0.39985887442260276</v>
      </c>
      <c r="AZ27" s="55">
        <v>7130.0406134094164</v>
      </c>
      <c r="BA27" s="59">
        <v>3.6490901193162771E-3</v>
      </c>
      <c r="BB27" s="56" t="s">
        <v>128</v>
      </c>
      <c r="BC27" s="55">
        <v>5678633.8333333312</v>
      </c>
      <c r="BD27" s="55">
        <v>1501.5366666680202</v>
      </c>
      <c r="BE27" s="55">
        <v>68171124.439999998</v>
      </c>
      <c r="BF27" s="55">
        <v>-27518.440000027418</v>
      </c>
      <c r="BG27" s="56" t="s">
        <v>154</v>
      </c>
      <c r="BH27" s="56" t="s">
        <v>155</v>
      </c>
    </row>
    <row r="28" spans="1:60" x14ac:dyDescent="0.3">
      <c r="A28" s="54">
        <v>45717</v>
      </c>
      <c r="B28" s="55">
        <v>5528304.9799999977</v>
      </c>
      <c r="C28" s="55">
        <v>5374879.3999999668</v>
      </c>
      <c r="D28" s="55">
        <v>5374879.3999999668</v>
      </c>
      <c r="E28" s="55">
        <v>5263376.5699999994</v>
      </c>
      <c r="F28" s="55">
        <v>919182.48999999976</v>
      </c>
      <c r="G28" s="55">
        <v>934013.59999999986</v>
      </c>
      <c r="H28" s="55">
        <v>-654254.08000000007</v>
      </c>
      <c r="I28" s="56" t="s">
        <v>185</v>
      </c>
      <c r="J28" s="55">
        <v>19242043.509999998</v>
      </c>
      <c r="K28" s="55">
        <v>5528304.9800000004</v>
      </c>
      <c r="L28" s="55">
        <v>5374879.4000000004</v>
      </c>
      <c r="M28" s="55">
        <v>19395469.09</v>
      </c>
      <c r="N28" s="55">
        <v>0</v>
      </c>
      <c r="O28" s="56" t="s">
        <v>186</v>
      </c>
      <c r="P28" s="55">
        <v>600191.23</v>
      </c>
      <c r="Q28" s="55">
        <v>576205.5299999998</v>
      </c>
      <c r="R28" s="55">
        <v>0</v>
      </c>
      <c r="S28" s="55">
        <v>0</v>
      </c>
      <c r="T28" s="57">
        <v>0</v>
      </c>
      <c r="U28" s="56" t="s">
        <v>186</v>
      </c>
      <c r="V28" s="55">
        <v>6630713.8200000012</v>
      </c>
      <c r="W28" s="55">
        <v>4949765.8999999994</v>
      </c>
      <c r="X28" s="55">
        <v>612232.57999999996</v>
      </c>
      <c r="Y28" s="55">
        <v>487084.03</v>
      </c>
      <c r="Z28" s="55">
        <v>581631.31000000006</v>
      </c>
      <c r="AA28" s="58">
        <v>721</v>
      </c>
      <c r="AB28" s="58">
        <v>721</v>
      </c>
      <c r="AC28" s="55">
        <v>9196.5517614424425</v>
      </c>
      <c r="AD28" s="56" t="s">
        <v>187</v>
      </c>
      <c r="AE28" s="55">
        <v>68171124.440000013</v>
      </c>
      <c r="AF28" s="55">
        <v>179208</v>
      </c>
      <c r="AG28" s="55">
        <v>72702.840000000011</v>
      </c>
      <c r="AH28" s="55">
        <v>18078</v>
      </c>
      <c r="AI28" s="55">
        <v>92175</v>
      </c>
      <c r="AJ28" s="55">
        <v>317787.96000000008</v>
      </c>
      <c r="AK28" s="55">
        <v>5706592.7000000011</v>
      </c>
      <c r="AL28" s="55">
        <v>68461293.959999979</v>
      </c>
      <c r="AM28" s="56" t="s">
        <v>187</v>
      </c>
      <c r="AN28" s="58">
        <v>3550</v>
      </c>
      <c r="AO28" s="58">
        <v>3540</v>
      </c>
      <c r="AP28" s="58">
        <v>3</v>
      </c>
      <c r="AQ28" s="58">
        <v>9</v>
      </c>
      <c r="AR28" s="59">
        <v>0.99896991812036473</v>
      </c>
      <c r="AS28" s="59">
        <v>1.0020284136595354</v>
      </c>
      <c r="AT28" s="59">
        <v>8.4507042253521131E-4</v>
      </c>
      <c r="AU28" s="59">
        <v>2.5352112676056337E-3</v>
      </c>
      <c r="AV28" s="56" t="s">
        <v>187</v>
      </c>
      <c r="AW28" s="55">
        <v>7230905.0500000007</v>
      </c>
      <c r="AX28" s="55">
        <v>-1856025.6500000339</v>
      </c>
      <c r="AY28" s="59">
        <v>-0.34531484557589243</v>
      </c>
      <c r="AZ28" s="55">
        <v>7454.7564493758209</v>
      </c>
      <c r="BA28" s="59">
        <v>4.6616212158814736E-3</v>
      </c>
      <c r="BB28" s="56" t="s">
        <v>128</v>
      </c>
      <c r="BC28" s="55">
        <v>5705107.8299999982</v>
      </c>
      <c r="BD28" s="55">
        <v>1484.8700000029057</v>
      </c>
      <c r="BE28" s="55">
        <v>68488912.400000006</v>
      </c>
      <c r="BF28" s="55">
        <v>-27618.440000027418</v>
      </c>
      <c r="BG28" s="56" t="s">
        <v>154</v>
      </c>
      <c r="BH28" s="56" t="s">
        <v>155</v>
      </c>
    </row>
    <row r="29" spans="1:60" x14ac:dyDescent="0.3">
      <c r="A29" s="54">
        <v>45748</v>
      </c>
      <c r="B29" s="55">
        <v>5580523.6599999992</v>
      </c>
      <c r="C29" s="55">
        <v>5324091.8899999876</v>
      </c>
      <c r="D29" s="55">
        <v>5324091.8899999876</v>
      </c>
      <c r="E29" s="55">
        <v>5052000.1999999927</v>
      </c>
      <c r="F29" s="55">
        <v>1154143.6999999993</v>
      </c>
      <c r="G29" s="55">
        <v>1167503.139999999</v>
      </c>
      <c r="H29" s="55">
        <v>-625620.23999999557</v>
      </c>
      <c r="I29" s="56" t="s">
        <v>185</v>
      </c>
      <c r="J29" s="55">
        <v>19395469.09</v>
      </c>
      <c r="K29" s="55">
        <v>5580523.6600000001</v>
      </c>
      <c r="L29" s="55">
        <v>5324091.8899999997</v>
      </c>
      <c r="M29" s="55">
        <v>19651900.859999999</v>
      </c>
      <c r="N29" s="55">
        <v>0</v>
      </c>
      <c r="O29" s="56" t="s">
        <v>186</v>
      </c>
      <c r="P29" s="55">
        <v>491036.46</v>
      </c>
      <c r="Q29" s="55">
        <v>454771.6999999999</v>
      </c>
      <c r="R29" s="55">
        <v>0</v>
      </c>
      <c r="S29" s="55">
        <v>0</v>
      </c>
      <c r="T29" s="57">
        <v>0</v>
      </c>
      <c r="U29" s="56" t="s">
        <v>186</v>
      </c>
      <c r="V29" s="55">
        <v>6707394.5600000005</v>
      </c>
      <c r="W29" s="55">
        <v>5006253.01</v>
      </c>
      <c r="X29" s="55">
        <v>617834.43000000005</v>
      </c>
      <c r="Y29" s="55">
        <v>493524.02</v>
      </c>
      <c r="Z29" s="55">
        <v>589783.1</v>
      </c>
      <c r="AA29" s="58">
        <v>729</v>
      </c>
      <c r="AB29" s="58">
        <v>729</v>
      </c>
      <c r="AC29" s="55">
        <v>9200.815582990399</v>
      </c>
      <c r="AD29" s="56" t="s">
        <v>187</v>
      </c>
      <c r="AE29" s="55">
        <v>68488912.399999991</v>
      </c>
      <c r="AF29" s="55">
        <v>317490</v>
      </c>
      <c r="AG29" s="55">
        <v>24128.04</v>
      </c>
      <c r="AH29" s="55">
        <v>12659</v>
      </c>
      <c r="AI29" s="55">
        <v>218985</v>
      </c>
      <c r="AJ29" s="55">
        <v>110373.88</v>
      </c>
      <c r="AK29" s="55">
        <v>5715757.1900000032</v>
      </c>
      <c r="AL29" s="55">
        <v>68555707.840000004</v>
      </c>
      <c r="AM29" s="56" t="s">
        <v>187</v>
      </c>
      <c r="AN29" s="58">
        <v>3558</v>
      </c>
      <c r="AO29" s="58">
        <v>3556</v>
      </c>
      <c r="AP29" s="58">
        <v>6</v>
      </c>
      <c r="AQ29" s="58">
        <v>22</v>
      </c>
      <c r="AR29" s="59">
        <v>0.99720226131083933</v>
      </c>
      <c r="AS29" s="59">
        <v>0.99697007015109196</v>
      </c>
      <c r="AT29" s="59">
        <v>1.6863406408094434E-3</v>
      </c>
      <c r="AU29" s="59">
        <v>6.1832490163012928E-3</v>
      </c>
      <c r="AV29" s="56" t="s">
        <v>187</v>
      </c>
      <c r="AW29" s="55">
        <v>7198431.0200000005</v>
      </c>
      <c r="AX29" s="55">
        <v>-1874339.1300000129</v>
      </c>
      <c r="AY29" s="59">
        <v>-0.35204860635867374</v>
      </c>
      <c r="AZ29" s="55">
        <v>7303.2810562414097</v>
      </c>
      <c r="BA29" s="59">
        <v>1.6115583695558878E-3</v>
      </c>
      <c r="BB29" s="56" t="s">
        <v>128</v>
      </c>
      <c r="BC29" s="55">
        <v>5712975.6533333333</v>
      </c>
      <c r="BD29" s="55">
        <v>2781.5366666698828</v>
      </c>
      <c r="BE29" s="55">
        <v>68599286.279999986</v>
      </c>
      <c r="BF29" s="55">
        <v>-43578.439999982715</v>
      </c>
      <c r="BG29" s="56" t="s">
        <v>154</v>
      </c>
      <c r="BH29" s="56" t="s">
        <v>155</v>
      </c>
    </row>
    <row r="30" spans="1:60" x14ac:dyDescent="0.3">
      <c r="A30" s="54">
        <v>45778</v>
      </c>
      <c r="B30" s="55">
        <v>5875372.8199999994</v>
      </c>
      <c r="C30" s="55">
        <v>5505787.4599999702</v>
      </c>
      <c r="D30" s="55">
        <v>5505787.4599999702</v>
      </c>
      <c r="E30" s="55">
        <v>5485161.5000000028</v>
      </c>
      <c r="F30" s="55">
        <v>1144348.0600000003</v>
      </c>
      <c r="G30" s="55">
        <v>1155181.1300000006</v>
      </c>
      <c r="H30" s="55">
        <v>-754136.74000000022</v>
      </c>
      <c r="I30" s="56" t="s">
        <v>185</v>
      </c>
      <c r="J30" s="55">
        <v>19651900.859999999</v>
      </c>
      <c r="K30" s="55">
        <v>5875372.8200000003</v>
      </c>
      <c r="L30" s="55">
        <v>5505787.4600000009</v>
      </c>
      <c r="M30" s="55">
        <v>20021486.219999999</v>
      </c>
      <c r="N30" s="55">
        <v>0</v>
      </c>
      <c r="O30" s="56" t="s">
        <v>186</v>
      </c>
      <c r="P30" s="55">
        <v>644955.55999999994</v>
      </c>
      <c r="Q30" s="55">
        <v>506104.71</v>
      </c>
      <c r="R30" s="55">
        <v>0</v>
      </c>
      <c r="S30" s="55">
        <v>0</v>
      </c>
      <c r="T30" s="57">
        <v>0</v>
      </c>
      <c r="U30" s="56" t="s">
        <v>186</v>
      </c>
      <c r="V30" s="55">
        <v>6847152.3900000006</v>
      </c>
      <c r="W30" s="55">
        <v>5110296.76</v>
      </c>
      <c r="X30" s="55">
        <v>626645.59</v>
      </c>
      <c r="Y30" s="55">
        <v>505591.77</v>
      </c>
      <c r="Z30" s="55">
        <v>604618.27</v>
      </c>
      <c r="AA30" s="58">
        <v>739</v>
      </c>
      <c r="AB30" s="58">
        <v>739</v>
      </c>
      <c r="AC30" s="55">
        <v>9265.4294857916102</v>
      </c>
      <c r="AD30" s="56" t="s">
        <v>187</v>
      </c>
      <c r="AE30" s="55">
        <v>68599286.279999927</v>
      </c>
      <c r="AF30" s="55">
        <v>156077</v>
      </c>
      <c r="AG30" s="55">
        <v>97621.719999999987</v>
      </c>
      <c r="AH30" s="55">
        <v>6642</v>
      </c>
      <c r="AI30" s="55">
        <v>83217</v>
      </c>
      <c r="AJ30" s="55">
        <v>163939.56000000003</v>
      </c>
      <c r="AK30" s="55">
        <v>5729393.8200000022</v>
      </c>
      <c r="AL30" s="55">
        <v>68715527.399999931</v>
      </c>
      <c r="AM30" s="56" t="s">
        <v>187</v>
      </c>
      <c r="AN30" s="58">
        <v>3576</v>
      </c>
      <c r="AO30" s="58">
        <v>3566</v>
      </c>
      <c r="AP30" s="58">
        <v>4</v>
      </c>
      <c r="AQ30" s="58">
        <v>14</v>
      </c>
      <c r="AR30" s="59">
        <v>0.99927363442534056</v>
      </c>
      <c r="AS30" s="59">
        <v>1.0001131644426782</v>
      </c>
      <c r="AT30" s="59">
        <v>1.1185682326621924E-3</v>
      </c>
      <c r="AU30" s="59">
        <v>3.9149888143176735E-3</v>
      </c>
      <c r="AV30" s="56" t="s">
        <v>187</v>
      </c>
      <c r="AW30" s="55">
        <v>7492107.9500000002</v>
      </c>
      <c r="AX30" s="55">
        <v>-1986320.49000003</v>
      </c>
      <c r="AY30" s="59">
        <v>-0.36076955466058636</v>
      </c>
      <c r="AZ30" s="55">
        <v>7450.3213261163328</v>
      </c>
      <c r="BA30" s="59">
        <v>2.3898143681969544E-3</v>
      </c>
      <c r="BB30" s="56" t="s">
        <v>128</v>
      </c>
      <c r="BC30" s="55">
        <v>5726293.9499999946</v>
      </c>
      <c r="BD30" s="55">
        <v>3099.8700000075623</v>
      </c>
      <c r="BE30" s="55">
        <v>68763225.839999929</v>
      </c>
      <c r="BF30" s="55">
        <v>-47698.439999997616</v>
      </c>
      <c r="BG30" s="56" t="s">
        <v>154</v>
      </c>
      <c r="BH30" s="56" t="s">
        <v>155</v>
      </c>
    </row>
    <row r="31" spans="1:60" x14ac:dyDescent="0.3">
      <c r="A31" s="54">
        <v>45809</v>
      </c>
      <c r="B31" s="55">
        <v>5860225.3399999999</v>
      </c>
      <c r="C31" s="55">
        <v>5414072.1999999993</v>
      </c>
      <c r="D31" s="55">
        <v>5414072.1999999993</v>
      </c>
      <c r="E31" s="55">
        <v>5508029.8399999989</v>
      </c>
      <c r="F31" s="55">
        <v>1013136.33</v>
      </c>
      <c r="G31" s="55">
        <v>1024357.94</v>
      </c>
      <c r="H31" s="55">
        <v>-660940.82999999821</v>
      </c>
      <c r="I31" s="56" t="s">
        <v>185</v>
      </c>
      <c r="J31" s="55">
        <v>20021486.219999999</v>
      </c>
      <c r="K31" s="55">
        <v>5860225.3399999999</v>
      </c>
      <c r="L31" s="55">
        <v>5414072.2000000002</v>
      </c>
      <c r="M31" s="55">
        <v>20467639.359999999</v>
      </c>
      <c r="N31" s="55">
        <v>0</v>
      </c>
      <c r="O31" s="56" t="s">
        <v>186</v>
      </c>
      <c r="P31" s="55">
        <v>576153.92000000004</v>
      </c>
      <c r="Q31" s="55">
        <v>533035.49</v>
      </c>
      <c r="R31" s="55">
        <v>0</v>
      </c>
      <c r="S31" s="55">
        <v>0</v>
      </c>
      <c r="T31" s="57">
        <v>0</v>
      </c>
      <c r="U31" s="56" t="s">
        <v>186</v>
      </c>
      <c r="V31" s="55">
        <v>6984886.4199999999</v>
      </c>
      <c r="W31" s="55">
        <v>5211127.58</v>
      </c>
      <c r="X31" s="55">
        <v>640378.30000000005</v>
      </c>
      <c r="Y31" s="55">
        <v>515044.57999999996</v>
      </c>
      <c r="Z31" s="55">
        <v>618335.96</v>
      </c>
      <c r="AA31" s="58">
        <v>753</v>
      </c>
      <c r="AB31" s="58">
        <v>753</v>
      </c>
      <c r="AC31" s="55">
        <v>9276.0775830013281</v>
      </c>
      <c r="AD31" s="56" t="s">
        <v>187</v>
      </c>
      <c r="AE31" s="55">
        <v>68763225.839999974</v>
      </c>
      <c r="AF31" s="55">
        <v>178619</v>
      </c>
      <c r="AG31" s="55">
        <v>68597.399999999994</v>
      </c>
      <c r="AH31" s="55">
        <v>15961</v>
      </c>
      <c r="AI31" s="55">
        <v>104907</v>
      </c>
      <c r="AJ31" s="55">
        <v>126647.99999999997</v>
      </c>
      <c r="AK31" s="55">
        <v>5739922.8200000003</v>
      </c>
      <c r="AL31" s="55">
        <v>68840717.399999991</v>
      </c>
      <c r="AM31" s="56" t="s">
        <v>187</v>
      </c>
      <c r="AN31" s="58">
        <v>3589</v>
      </c>
      <c r="AO31" s="58">
        <v>3578</v>
      </c>
      <c r="AP31" s="58">
        <v>5</v>
      </c>
      <c r="AQ31" s="58">
        <v>17</v>
      </c>
      <c r="AR31" s="59">
        <v>0.99882440768284941</v>
      </c>
      <c r="AS31" s="59">
        <v>0.99923984543538402</v>
      </c>
      <c r="AT31" s="59">
        <v>1.3931457230426303E-3</v>
      </c>
      <c r="AU31" s="59">
        <v>4.7366954583449427E-3</v>
      </c>
      <c r="AV31" s="56" t="s">
        <v>187</v>
      </c>
      <c r="AW31" s="55">
        <v>7561040.3399999999</v>
      </c>
      <c r="AX31" s="55">
        <v>-2146968.1400000006</v>
      </c>
      <c r="AY31" s="59">
        <v>-0.39655328940755552</v>
      </c>
      <c r="AZ31" s="55">
        <v>7190.0029216467456</v>
      </c>
      <c r="BA31" s="59">
        <v>1.8417984097297553E-3</v>
      </c>
      <c r="BB31" s="56" t="s">
        <v>128</v>
      </c>
      <c r="BC31" s="55">
        <v>5736726.4499999993</v>
      </c>
      <c r="BD31" s="55">
        <v>3196.3700000010431</v>
      </c>
      <c r="BE31" s="55">
        <v>68889873.839999974</v>
      </c>
      <c r="BF31" s="55">
        <v>-49156.439999982715</v>
      </c>
      <c r="BG31" s="56" t="s">
        <v>154</v>
      </c>
      <c r="BH31" s="56" t="s">
        <v>155</v>
      </c>
    </row>
    <row r="32" spans="1:60" x14ac:dyDescent="0.3">
      <c r="A32" s="54">
        <v>45839</v>
      </c>
      <c r="B32" s="55">
        <v>5904916.6700000009</v>
      </c>
      <c r="C32" s="55">
        <v>5624021.3499999819</v>
      </c>
      <c r="D32" s="55">
        <v>5624021.3499999819</v>
      </c>
      <c r="E32" s="55">
        <v>5258659.3199999994</v>
      </c>
      <c r="F32" s="55">
        <v>1375525.9200000004</v>
      </c>
      <c r="G32" s="55">
        <v>1394048.8000000005</v>
      </c>
      <c r="H32" s="55">
        <v>-729268.56999999844</v>
      </c>
      <c r="I32" s="56" t="s">
        <v>185</v>
      </c>
      <c r="J32" s="55">
        <v>20467639.360000003</v>
      </c>
      <c r="K32" s="55">
        <v>5904916.6699999999</v>
      </c>
      <c r="L32" s="55">
        <v>5624021.3499999996</v>
      </c>
      <c r="M32" s="55">
        <v>20748534.68</v>
      </c>
      <c r="N32" s="55">
        <v>0</v>
      </c>
      <c r="O32" s="56" t="s">
        <v>186</v>
      </c>
      <c r="P32" s="55">
        <v>948733.53</v>
      </c>
      <c r="Q32" s="55">
        <v>772095.82000000007</v>
      </c>
      <c r="R32" s="55">
        <v>0</v>
      </c>
      <c r="S32" s="55">
        <v>0</v>
      </c>
      <c r="T32" s="57">
        <v>0</v>
      </c>
      <c r="U32" s="56" t="s">
        <v>187</v>
      </c>
      <c r="V32" s="55">
        <v>7080832.7999999989</v>
      </c>
      <c r="W32" s="55">
        <v>5283101.3600000013</v>
      </c>
      <c r="X32" s="55">
        <v>650071.5199999999</v>
      </c>
      <c r="Y32" s="55">
        <v>522021.18999999994</v>
      </c>
      <c r="Z32" s="55">
        <v>625638.72999999986</v>
      </c>
      <c r="AA32" s="58">
        <v>765</v>
      </c>
      <c r="AB32" s="58">
        <v>765</v>
      </c>
      <c r="AC32" s="55">
        <v>9255.9905882352923</v>
      </c>
      <c r="AD32" s="56" t="s">
        <v>187</v>
      </c>
      <c r="AE32" s="55">
        <v>68889873.840000018</v>
      </c>
      <c r="AF32" s="55">
        <v>159450</v>
      </c>
      <c r="AG32" s="55">
        <v>96979.32</v>
      </c>
      <c r="AH32" s="55">
        <v>23358</v>
      </c>
      <c r="AI32" s="55">
        <v>71900</v>
      </c>
      <c r="AJ32" s="55">
        <v>161270.47999999998</v>
      </c>
      <c r="AK32" s="55">
        <v>5753345.3600000003</v>
      </c>
      <c r="AL32" s="55">
        <v>69001887.880000055</v>
      </c>
      <c r="AM32" s="56" t="s">
        <v>187</v>
      </c>
      <c r="AN32" s="58">
        <v>3602</v>
      </c>
      <c r="AO32" s="58">
        <v>3586</v>
      </c>
      <c r="AP32" s="58">
        <v>4</v>
      </c>
      <c r="AQ32" s="58">
        <v>12</v>
      </c>
      <c r="AR32" s="59">
        <v>0.99919830191403336</v>
      </c>
      <c r="AS32" s="59">
        <v>1.0000249656430495</v>
      </c>
      <c r="AT32" s="59">
        <v>1.1104941699056081E-3</v>
      </c>
      <c r="AU32" s="59">
        <v>3.3314825097168241E-3</v>
      </c>
      <c r="AV32" s="56" t="s">
        <v>187</v>
      </c>
      <c r="AW32" s="55">
        <v>8029566.3299999991</v>
      </c>
      <c r="AX32" s="55">
        <v>-2405544.9800000172</v>
      </c>
      <c r="AY32" s="59">
        <v>-0.4277268577581102</v>
      </c>
      <c r="AZ32" s="55">
        <v>7351.6618954248133</v>
      </c>
      <c r="BA32" s="59">
        <v>2.3409896260596771E-3</v>
      </c>
      <c r="BB32" s="56" t="s">
        <v>128</v>
      </c>
      <c r="BC32" s="55">
        <v>5750157.3233333379</v>
      </c>
      <c r="BD32" s="55">
        <v>3188.0366666624323</v>
      </c>
      <c r="BE32" s="55">
        <v>69051144.320000023</v>
      </c>
      <c r="BF32" s="55">
        <v>-49256.439999967813</v>
      </c>
      <c r="BG32" s="56" t="s">
        <v>154</v>
      </c>
      <c r="BH32" s="56" t="s">
        <v>155</v>
      </c>
    </row>
    <row r="33" spans="1:60" x14ac:dyDescent="0.3">
      <c r="A33" s="54">
        <v>45870</v>
      </c>
      <c r="B33" s="55">
        <v>6622923.0399999991</v>
      </c>
      <c r="C33" s="55">
        <v>5701269.7399999676</v>
      </c>
      <c r="D33" s="55">
        <v>5701269.7399999676</v>
      </c>
      <c r="E33" s="55">
        <v>6245825.6599999983</v>
      </c>
      <c r="F33" s="55">
        <v>1180985.100000001</v>
      </c>
      <c r="G33" s="55">
        <v>1217837.2700000007</v>
      </c>
      <c r="H33" s="55">
        <v>-803887.71999999415</v>
      </c>
      <c r="I33" s="56" t="s">
        <v>185</v>
      </c>
      <c r="J33" s="55">
        <v>20748534.680000003</v>
      </c>
      <c r="K33" s="55">
        <v>6622923.040000001</v>
      </c>
      <c r="L33" s="55">
        <v>5701269.7400000002</v>
      </c>
      <c r="M33" s="55">
        <v>21670187.98</v>
      </c>
      <c r="N33" s="55">
        <v>0</v>
      </c>
      <c r="O33" s="56" t="s">
        <v>186</v>
      </c>
      <c r="P33" s="55">
        <v>489001.28</v>
      </c>
      <c r="Q33" s="55">
        <v>440051.35000000003</v>
      </c>
      <c r="R33" s="55">
        <v>0</v>
      </c>
      <c r="S33" s="55">
        <v>0</v>
      </c>
      <c r="T33" s="57">
        <v>0</v>
      </c>
      <c r="U33" s="56" t="s">
        <v>186</v>
      </c>
      <c r="V33" s="55">
        <v>7173988.1500000004</v>
      </c>
      <c r="W33" s="55">
        <v>5353747.22</v>
      </c>
      <c r="X33" s="55">
        <v>658393.7300000001</v>
      </c>
      <c r="Y33" s="55">
        <v>528736.46</v>
      </c>
      <c r="Z33" s="55">
        <v>633110.74</v>
      </c>
      <c r="AA33" s="58">
        <v>778</v>
      </c>
      <c r="AB33" s="58">
        <v>778</v>
      </c>
      <c r="AC33" s="55">
        <v>9221.0644601542426</v>
      </c>
      <c r="AD33" s="56" t="s">
        <v>187</v>
      </c>
      <c r="AE33" s="55">
        <v>69051144.319999963</v>
      </c>
      <c r="AF33" s="55">
        <v>124666</v>
      </c>
      <c r="AG33" s="55">
        <v>58439.880000000005</v>
      </c>
      <c r="AH33" s="55">
        <v>4394</v>
      </c>
      <c r="AI33" s="55">
        <v>100987</v>
      </c>
      <c r="AJ33" s="55">
        <v>77724.599999999991</v>
      </c>
      <c r="AK33" s="55">
        <v>5759822.4100000076</v>
      </c>
      <c r="AL33" s="55">
        <v>69079612.479999989</v>
      </c>
      <c r="AM33" s="56" t="s">
        <v>187</v>
      </c>
      <c r="AN33" s="58">
        <v>3611</v>
      </c>
      <c r="AO33" s="58">
        <v>3596</v>
      </c>
      <c r="AP33" s="58">
        <v>4</v>
      </c>
      <c r="AQ33" s="58">
        <v>14</v>
      </c>
      <c r="AR33" s="59">
        <v>0.99905359193329046</v>
      </c>
      <c r="AS33" s="59">
        <v>0.99932019605956934</v>
      </c>
      <c r="AT33" s="59">
        <v>1.1077263915812794E-3</v>
      </c>
      <c r="AU33" s="59">
        <v>3.8770423705344779E-3</v>
      </c>
      <c r="AV33" s="56" t="s">
        <v>187</v>
      </c>
      <c r="AW33" s="55">
        <v>7662989.4300000006</v>
      </c>
      <c r="AX33" s="55">
        <v>-1961719.690000033</v>
      </c>
      <c r="AY33" s="59">
        <v>-0.34408470033204291</v>
      </c>
      <c r="AZ33" s="55">
        <v>7328.1102056554855</v>
      </c>
      <c r="BA33" s="59">
        <v>1.1256091519614086E-3</v>
      </c>
      <c r="BB33" s="56" t="s">
        <v>128</v>
      </c>
      <c r="BC33" s="55">
        <v>5756634.3733333321</v>
      </c>
      <c r="BD33" s="55">
        <v>3188.0366666754708</v>
      </c>
      <c r="BE33" s="55">
        <v>69128868.919999957</v>
      </c>
      <c r="BF33" s="55">
        <v>-49256.439999967813</v>
      </c>
      <c r="BG33" s="56" t="s">
        <v>154</v>
      </c>
      <c r="BH33" s="56" t="s">
        <v>155</v>
      </c>
    </row>
    <row r="34" spans="1:60" x14ac:dyDescent="0.3">
      <c r="A34" s="54">
        <v>45901</v>
      </c>
      <c r="B34" s="55">
        <v>5730048.8600000031</v>
      </c>
      <c r="C34" s="55">
        <v>5621695.6499999883</v>
      </c>
      <c r="D34" s="55">
        <v>5621695.6499999883</v>
      </c>
      <c r="E34" s="55">
        <v>5179603.6499999966</v>
      </c>
      <c r="F34" s="55">
        <v>1109328.1199999996</v>
      </c>
      <c r="G34" s="55">
        <v>1138079.6700000002</v>
      </c>
      <c r="H34" s="55">
        <v>-558882.9099999927</v>
      </c>
      <c r="I34" s="56" t="s">
        <v>188</v>
      </c>
      <c r="J34" s="55">
        <v>21670187.979999997</v>
      </c>
      <c r="K34" s="55">
        <v>5730048.8600000003</v>
      </c>
      <c r="L34" s="55">
        <v>5621695.6500000004</v>
      </c>
      <c r="M34" s="55">
        <v>21778541.190000001</v>
      </c>
      <c r="N34" s="55">
        <v>0</v>
      </c>
      <c r="O34" s="56" t="s">
        <v>186</v>
      </c>
      <c r="P34" s="55">
        <v>695718.92999999993</v>
      </c>
      <c r="Q34" s="55">
        <v>494285.4</v>
      </c>
      <c r="R34" s="55">
        <v>0</v>
      </c>
      <c r="S34" s="55">
        <v>0</v>
      </c>
      <c r="T34" s="57">
        <v>0</v>
      </c>
      <c r="U34" s="56" t="s">
        <v>186</v>
      </c>
      <c r="V34" s="55">
        <v>7283674.1899999995</v>
      </c>
      <c r="W34" s="55">
        <v>5433777.8600000003</v>
      </c>
      <c r="X34" s="55">
        <v>669628.61999999988</v>
      </c>
      <c r="Y34" s="55">
        <v>535250.42999999993</v>
      </c>
      <c r="Z34" s="55">
        <v>645017.28</v>
      </c>
      <c r="AA34" s="58">
        <v>792</v>
      </c>
      <c r="AB34" s="58">
        <v>792</v>
      </c>
      <c r="AC34" s="55">
        <v>9196.5583207070704</v>
      </c>
      <c r="AD34" s="56" t="s">
        <v>187</v>
      </c>
      <c r="AE34" s="55">
        <v>69128868.919999957</v>
      </c>
      <c r="AF34" s="55">
        <v>106509</v>
      </c>
      <c r="AG34" s="55">
        <v>47660.880000000005</v>
      </c>
      <c r="AH34" s="55">
        <v>17498</v>
      </c>
      <c r="AI34" s="55">
        <v>87075</v>
      </c>
      <c r="AJ34" s="55">
        <v>49697.08</v>
      </c>
      <c r="AK34" s="55">
        <v>5763955.5</v>
      </c>
      <c r="AL34" s="55">
        <v>69129309.559999973</v>
      </c>
      <c r="AM34" s="56" t="s">
        <v>187</v>
      </c>
      <c r="AN34" s="58">
        <v>3621</v>
      </c>
      <c r="AO34" s="58">
        <v>3603</v>
      </c>
      <c r="AP34" s="58">
        <v>2</v>
      </c>
      <c r="AQ34" s="58">
        <v>9</v>
      </c>
      <c r="AR34" s="59">
        <v>0.99906634896522439</v>
      </c>
      <c r="AS34" s="59">
        <v>0.99917672716349715</v>
      </c>
      <c r="AT34" s="59">
        <v>5.5233360950013809E-4</v>
      </c>
      <c r="AU34" s="59">
        <v>2.4855012427506215E-3</v>
      </c>
      <c r="AV34" s="56" t="s">
        <v>187</v>
      </c>
      <c r="AW34" s="55">
        <v>7979393.1199999992</v>
      </c>
      <c r="AX34" s="55">
        <v>-2357697.4700000109</v>
      </c>
      <c r="AY34" s="59">
        <v>-0.41939258486894709</v>
      </c>
      <c r="AZ34" s="55">
        <v>7098.1005681818033</v>
      </c>
      <c r="BA34" s="59">
        <v>7.1890486241735598E-4</v>
      </c>
      <c r="BB34" s="56" t="s">
        <v>128</v>
      </c>
      <c r="BC34" s="55">
        <v>5760775.7966666641</v>
      </c>
      <c r="BD34" s="55">
        <v>3179.7033333359286</v>
      </c>
      <c r="BE34" s="55">
        <v>69178565.999999955</v>
      </c>
      <c r="BF34" s="55">
        <v>-49256.439999982715</v>
      </c>
      <c r="BG34" s="56" t="s">
        <v>154</v>
      </c>
      <c r="BH34" s="56" t="s">
        <v>155</v>
      </c>
    </row>
    <row r="35" spans="1:60" x14ac:dyDescent="0.3">
      <c r="A35" s="54">
        <v>45931</v>
      </c>
      <c r="B35" s="55">
        <v>5946265.4099999992</v>
      </c>
      <c r="C35" s="55">
        <v>5786294.9199999571</v>
      </c>
      <c r="D35" s="55">
        <v>5786294.9199999571</v>
      </c>
      <c r="E35" s="55">
        <v>5036442.4399999976</v>
      </c>
      <c r="F35" s="55">
        <v>1601183.3900000006</v>
      </c>
      <c r="G35" s="55">
        <v>1612570.3900000006</v>
      </c>
      <c r="H35" s="55">
        <v>-691360.4199999962</v>
      </c>
      <c r="I35" s="56" t="s">
        <v>185</v>
      </c>
      <c r="J35" s="55">
        <v>21778541.189999998</v>
      </c>
      <c r="K35" s="55">
        <v>5946265.4099999992</v>
      </c>
      <c r="L35" s="55">
        <v>5786294.9199999999</v>
      </c>
      <c r="M35" s="55">
        <v>21938511.680000003</v>
      </c>
      <c r="N35" s="55">
        <v>0</v>
      </c>
      <c r="O35" s="56" t="s">
        <v>186</v>
      </c>
      <c r="P35" s="55">
        <v>785998.78999999992</v>
      </c>
      <c r="Q35" s="55">
        <v>873193.50000000012</v>
      </c>
      <c r="R35" s="55">
        <v>0</v>
      </c>
      <c r="S35" s="55">
        <v>0</v>
      </c>
      <c r="T35" s="57">
        <v>0</v>
      </c>
      <c r="U35" s="56" t="s">
        <v>186</v>
      </c>
      <c r="V35" s="55">
        <v>7354067.54</v>
      </c>
      <c r="W35" s="55">
        <v>5482784.8100000005</v>
      </c>
      <c r="X35" s="55">
        <v>680292.94</v>
      </c>
      <c r="Y35" s="55">
        <v>538046.93000000005</v>
      </c>
      <c r="Z35" s="55">
        <v>652942.8600000001</v>
      </c>
      <c r="AA35" s="58">
        <v>804</v>
      </c>
      <c r="AB35" s="58">
        <v>804</v>
      </c>
      <c r="AC35" s="55">
        <v>9146.850174129353</v>
      </c>
      <c r="AD35" s="56" t="s">
        <v>187</v>
      </c>
      <c r="AE35" s="55">
        <v>69178566</v>
      </c>
      <c r="AF35" s="55">
        <v>161324</v>
      </c>
      <c r="AG35" s="55">
        <v>65899.56</v>
      </c>
      <c r="AH35" s="55">
        <v>27225</v>
      </c>
      <c r="AI35" s="55">
        <v>109275</v>
      </c>
      <c r="AJ35" s="55">
        <v>90823.48</v>
      </c>
      <c r="AK35" s="55">
        <v>5771515.7900000028</v>
      </c>
      <c r="AL35" s="55">
        <v>69220133.040000007</v>
      </c>
      <c r="AM35" s="56" t="s">
        <v>187</v>
      </c>
      <c r="AN35" s="58">
        <v>3628</v>
      </c>
      <c r="AO35" s="58">
        <v>3613</v>
      </c>
      <c r="AP35" s="58">
        <v>4</v>
      </c>
      <c r="AQ35" s="58">
        <v>14</v>
      </c>
      <c r="AR35" s="59">
        <v>0.99860550275066429</v>
      </c>
      <c r="AS35" s="59">
        <v>0.99897944805620875</v>
      </c>
      <c r="AT35" s="59">
        <v>1.1025358324145535E-3</v>
      </c>
      <c r="AU35" s="59">
        <v>3.858875413450937E-3</v>
      </c>
      <c r="AV35" s="56" t="s">
        <v>187</v>
      </c>
      <c r="AW35" s="55">
        <v>8140066.3300000001</v>
      </c>
      <c r="AX35" s="55">
        <v>-2353771.410000043</v>
      </c>
      <c r="AY35" s="59">
        <v>-0.40678386472566119</v>
      </c>
      <c r="AZ35" s="55">
        <v>7196.884228855668</v>
      </c>
      <c r="BA35" s="59">
        <v>1.3128846874333878E-3</v>
      </c>
      <c r="BB35" s="56" t="s">
        <v>128</v>
      </c>
      <c r="BC35" s="55">
        <v>5768344.4200000009</v>
      </c>
      <c r="BD35" s="55">
        <v>3171.3700000019744</v>
      </c>
      <c r="BE35" s="55">
        <v>69269389.480000004</v>
      </c>
      <c r="BF35" s="55">
        <v>-49256.439999997616</v>
      </c>
      <c r="BG35" s="56" t="s">
        <v>154</v>
      </c>
      <c r="BH35" s="56" t="s">
        <v>155</v>
      </c>
    </row>
    <row r="36" spans="1:60" x14ac:dyDescent="0.3">
      <c r="A36" s="54">
        <v>45962</v>
      </c>
      <c r="B36" s="55">
        <v>4728518.3599999994</v>
      </c>
      <c r="C36" s="55">
        <v>5698179.3499999875</v>
      </c>
      <c r="D36" s="55">
        <v>5698179.3499999875</v>
      </c>
      <c r="E36" s="55">
        <v>4337243.0599999996</v>
      </c>
      <c r="F36" s="55">
        <v>957664.66000000027</v>
      </c>
      <c r="G36" s="55">
        <v>961450.54000000015</v>
      </c>
      <c r="H36" s="55">
        <v>-566389.36000000034</v>
      </c>
      <c r="I36" s="56" t="s">
        <v>185</v>
      </c>
      <c r="J36" s="55">
        <v>21938511.680000003</v>
      </c>
      <c r="K36" s="55">
        <v>4728518.3600000003</v>
      </c>
      <c r="L36" s="55">
        <v>5698179.3499999996</v>
      </c>
      <c r="M36" s="55">
        <v>20968850.690000001</v>
      </c>
      <c r="N36" s="55">
        <v>0</v>
      </c>
      <c r="O36" s="56" t="s">
        <v>186</v>
      </c>
      <c r="P36" s="55">
        <v>517771.77999999997</v>
      </c>
      <c r="Q36" s="55">
        <v>434388.63</v>
      </c>
      <c r="R36" s="55">
        <v>0</v>
      </c>
      <c r="S36" s="55">
        <v>0</v>
      </c>
      <c r="T36" s="57">
        <v>0</v>
      </c>
      <c r="U36" s="56" t="s">
        <v>186</v>
      </c>
      <c r="V36" s="55">
        <v>7457923.1699999999</v>
      </c>
      <c r="W36" s="55">
        <v>5559770.9000000004</v>
      </c>
      <c r="X36" s="55">
        <v>692056.6399999999</v>
      </c>
      <c r="Y36" s="55">
        <v>544817.09999999986</v>
      </c>
      <c r="Z36" s="55">
        <v>661278.53000000014</v>
      </c>
      <c r="AA36" s="58">
        <v>816</v>
      </c>
      <c r="AB36" s="58">
        <v>816</v>
      </c>
      <c r="AC36" s="55">
        <v>9139.6117279411756</v>
      </c>
      <c r="AD36" s="56" t="s">
        <v>187</v>
      </c>
      <c r="AE36" s="55">
        <v>69269389.480000004</v>
      </c>
      <c r="AF36" s="55">
        <v>142162</v>
      </c>
      <c r="AG36" s="55">
        <v>87681.12</v>
      </c>
      <c r="AH36" s="55">
        <v>9616</v>
      </c>
      <c r="AI36" s="55">
        <v>69180</v>
      </c>
      <c r="AJ36" s="55">
        <v>151248.12</v>
      </c>
      <c r="AK36" s="55">
        <v>5784094.8000000045</v>
      </c>
      <c r="AL36" s="55">
        <v>69371381.160000011</v>
      </c>
      <c r="AM36" s="56" t="s">
        <v>187</v>
      </c>
      <c r="AN36" s="58">
        <v>3638</v>
      </c>
      <c r="AO36" s="58">
        <v>3623</v>
      </c>
      <c r="AP36" s="58">
        <v>3</v>
      </c>
      <c r="AQ36" s="58">
        <v>12</v>
      </c>
      <c r="AR36" s="59">
        <v>0.9994403779174178</v>
      </c>
      <c r="AS36" s="59">
        <v>1.000128280039231</v>
      </c>
      <c r="AT36" s="59">
        <v>8.2462891698735572E-4</v>
      </c>
      <c r="AU36" s="59">
        <v>3.2985156679494229E-3</v>
      </c>
      <c r="AV36" s="56" t="s">
        <v>187</v>
      </c>
      <c r="AW36" s="55">
        <v>7975694.9500000002</v>
      </c>
      <c r="AX36" s="55">
        <v>-2277515.6000000127</v>
      </c>
      <c r="AY36" s="59">
        <v>-0.39969180682247524</v>
      </c>
      <c r="AZ36" s="55">
        <v>6983.0629289215531</v>
      </c>
      <c r="BA36" s="59">
        <v>2.1834770182819286E-3</v>
      </c>
      <c r="BB36" s="56" t="s">
        <v>128</v>
      </c>
      <c r="BC36" s="55">
        <v>5780948.4300000006</v>
      </c>
      <c r="BD36" s="55">
        <v>3146.370000003837</v>
      </c>
      <c r="BE36" s="55">
        <v>69420637.600000009</v>
      </c>
      <c r="BF36" s="55">
        <v>-49256.439999997616</v>
      </c>
      <c r="BG36" s="56" t="s">
        <v>154</v>
      </c>
      <c r="BH36" s="56" t="s">
        <v>155</v>
      </c>
    </row>
    <row r="37" spans="1:60" x14ac:dyDescent="0.3">
      <c r="A37" s="54">
        <v>45992</v>
      </c>
      <c r="B37" s="55">
        <v>5864335.370000002</v>
      </c>
      <c r="C37" s="55">
        <v>5868767.4199999534</v>
      </c>
      <c r="D37" s="55">
        <v>5868767.4199999534</v>
      </c>
      <c r="E37" s="55">
        <v>5471059.5099999979</v>
      </c>
      <c r="F37" s="55">
        <v>1064324.5300000005</v>
      </c>
      <c r="G37" s="55">
        <v>1086816.2700000005</v>
      </c>
      <c r="H37" s="55">
        <v>-671048.66999999806</v>
      </c>
      <c r="I37" s="56" t="s">
        <v>185</v>
      </c>
      <c r="J37" s="55">
        <v>20968850.690000001</v>
      </c>
      <c r="K37" s="55">
        <v>5864335.3699999992</v>
      </c>
      <c r="L37" s="55">
        <v>5868767.4199999999</v>
      </c>
      <c r="M37" s="55">
        <v>20964418.640000001</v>
      </c>
      <c r="N37" s="55">
        <v>0</v>
      </c>
      <c r="O37" s="56" t="s">
        <v>186</v>
      </c>
      <c r="P37" s="55">
        <v>850105.36</v>
      </c>
      <c r="Q37" s="55">
        <v>522809.90999999992</v>
      </c>
      <c r="R37" s="55">
        <v>0</v>
      </c>
      <c r="S37" s="55">
        <v>0</v>
      </c>
      <c r="T37" s="57">
        <v>0</v>
      </c>
      <c r="U37" s="56" t="s">
        <v>186</v>
      </c>
      <c r="V37" s="55">
        <v>7533177.6399999987</v>
      </c>
      <c r="W37" s="55">
        <v>5615226.5800000001</v>
      </c>
      <c r="X37" s="55">
        <v>699415.66</v>
      </c>
      <c r="Y37" s="55">
        <v>550410.11</v>
      </c>
      <c r="Z37" s="55">
        <v>668125.29</v>
      </c>
      <c r="AA37" s="58">
        <v>819</v>
      </c>
      <c r="AB37" s="58">
        <v>819</v>
      </c>
      <c r="AC37" s="55">
        <v>9198.0190964590947</v>
      </c>
      <c r="AD37" s="56" t="s">
        <v>187</v>
      </c>
      <c r="AE37" s="55">
        <v>69420637.600000054</v>
      </c>
      <c r="AF37" s="55">
        <v>263830</v>
      </c>
      <c r="AG37" s="55">
        <v>53498.04</v>
      </c>
      <c r="AH37" s="55">
        <v>1752</v>
      </c>
      <c r="AI37" s="55">
        <v>88620</v>
      </c>
      <c r="AJ37" s="55">
        <v>227056.12</v>
      </c>
      <c r="AK37" s="55">
        <v>5803007.8100000052</v>
      </c>
      <c r="AL37" s="55">
        <v>69595557.280000031</v>
      </c>
      <c r="AM37" s="56" t="s">
        <v>187</v>
      </c>
      <c r="AN37" s="58">
        <v>3648</v>
      </c>
      <c r="AO37" s="58">
        <v>3635</v>
      </c>
      <c r="AP37" s="58">
        <v>4</v>
      </c>
      <c r="AQ37" s="58">
        <v>16</v>
      </c>
      <c r="AR37" s="59">
        <v>0.99927483293527131</v>
      </c>
      <c r="AS37" s="59">
        <v>0.99946883115346075</v>
      </c>
      <c r="AT37" s="59">
        <v>1.0964912280701754E-3</v>
      </c>
      <c r="AU37" s="59">
        <v>4.3859649122807015E-3</v>
      </c>
      <c r="AV37" s="56" t="s">
        <v>187</v>
      </c>
      <c r="AW37" s="55">
        <v>8383282.9999999991</v>
      </c>
      <c r="AX37" s="55">
        <v>-2514515.5800000457</v>
      </c>
      <c r="AY37" s="59">
        <v>-0.42845718701186247</v>
      </c>
      <c r="AZ37" s="55">
        <v>7165.7721855921291</v>
      </c>
      <c r="BA37" s="59">
        <v>3.2707293947412523E-3</v>
      </c>
      <c r="BB37" s="56" t="s">
        <v>128</v>
      </c>
      <c r="BC37" s="55">
        <v>5799629.7733333362</v>
      </c>
      <c r="BD37" s="55">
        <v>3378.0366666689515</v>
      </c>
      <c r="BE37" s="55">
        <v>69647693.720000058</v>
      </c>
      <c r="BF37" s="55">
        <v>-52136.440000027418</v>
      </c>
      <c r="BG37" s="56" t="s">
        <v>154</v>
      </c>
      <c r="BH37" s="56" t="s">
        <v>155</v>
      </c>
    </row>
    <row r="38" spans="1:60" x14ac:dyDescent="0.3">
      <c r="A38" s="54">
        <v>46023</v>
      </c>
      <c r="B38" s="55">
        <v>6359074.5400000038</v>
      </c>
      <c r="C38" s="55">
        <v>5927913.1099999566</v>
      </c>
      <c r="D38" s="55">
        <v>5927913.1099999566</v>
      </c>
      <c r="E38" s="55">
        <v>5653312.2899999926</v>
      </c>
      <c r="F38" s="55">
        <v>1465091.0200000005</v>
      </c>
      <c r="G38" s="55">
        <v>1487011.8400000001</v>
      </c>
      <c r="H38" s="55">
        <v>-759328.76999998838</v>
      </c>
      <c r="I38" s="56" t="s">
        <v>185</v>
      </c>
      <c r="J38" s="55">
        <v>20964418.640000001</v>
      </c>
      <c r="K38" s="55">
        <v>6359074.54</v>
      </c>
      <c r="L38" s="55">
        <v>5927913.1100000003</v>
      </c>
      <c r="M38" s="55">
        <v>21395580.07</v>
      </c>
      <c r="N38" s="55">
        <v>0</v>
      </c>
      <c r="O38" s="56" t="s">
        <v>186</v>
      </c>
      <c r="P38" s="55">
        <v>690369.62</v>
      </c>
      <c r="Q38" s="55">
        <v>782430.04999999981</v>
      </c>
      <c r="R38" s="55">
        <v>0</v>
      </c>
      <c r="S38" s="55">
        <v>0</v>
      </c>
      <c r="T38" s="57">
        <v>0</v>
      </c>
      <c r="U38" s="56" t="s">
        <v>186</v>
      </c>
      <c r="V38" s="55">
        <v>7616787.2600000007</v>
      </c>
      <c r="W38" s="55">
        <v>5680042.1099999994</v>
      </c>
      <c r="X38" s="55">
        <v>705811.74</v>
      </c>
      <c r="Y38" s="55">
        <v>557464.72</v>
      </c>
      <c r="Z38" s="55">
        <v>673468.69</v>
      </c>
      <c r="AA38" s="58">
        <v>825</v>
      </c>
      <c r="AB38" s="58">
        <v>825</v>
      </c>
      <c r="AC38" s="55">
        <v>9232.4694060606071</v>
      </c>
      <c r="AD38" s="56" t="s">
        <v>187</v>
      </c>
      <c r="AE38" s="55">
        <v>69647693.720000029</v>
      </c>
      <c r="AF38" s="55">
        <v>20100</v>
      </c>
      <c r="AG38" s="55">
        <v>86269.200000000012</v>
      </c>
      <c r="AH38" s="55">
        <v>13552</v>
      </c>
      <c r="AI38" s="55">
        <v>205009</v>
      </c>
      <c r="AJ38" s="55">
        <v>-111992.20000000003</v>
      </c>
      <c r="AK38" s="55">
        <v>5793658.4600000065</v>
      </c>
      <c r="AL38" s="55">
        <v>69483565.080000013</v>
      </c>
      <c r="AM38" s="56" t="s">
        <v>187</v>
      </c>
      <c r="AN38" s="58">
        <v>3661</v>
      </c>
      <c r="AO38" s="58">
        <v>3628</v>
      </c>
      <c r="AP38" s="58">
        <v>9</v>
      </c>
      <c r="AQ38" s="58">
        <v>2</v>
      </c>
      <c r="AR38" s="59">
        <v>0.99743665826584671</v>
      </c>
      <c r="AS38" s="59">
        <v>0.99810055160574496</v>
      </c>
      <c r="AT38" s="59">
        <v>2.4583447145588638E-3</v>
      </c>
      <c r="AU38" s="59">
        <v>5.4629882545752522E-4</v>
      </c>
      <c r="AV38" s="56" t="s">
        <v>187</v>
      </c>
      <c r="AW38" s="55">
        <v>8307156.8800000008</v>
      </c>
      <c r="AX38" s="55">
        <v>-2379243.7700000443</v>
      </c>
      <c r="AY38" s="59">
        <v>-0.40136279426674348</v>
      </c>
      <c r="AZ38" s="55">
        <v>7185.3492242423717</v>
      </c>
      <c r="BA38" s="59">
        <v>-1.6079814566471475E-3</v>
      </c>
      <c r="BB38" s="56" t="s">
        <v>128</v>
      </c>
      <c r="BC38" s="55">
        <v>5790297.0900000008</v>
      </c>
      <c r="BD38" s="55">
        <v>3361.3700000056997</v>
      </c>
      <c r="BE38" s="55">
        <v>69535701.520000026</v>
      </c>
      <c r="BF38" s="55">
        <v>-52136.440000012517</v>
      </c>
      <c r="BG38" s="56" t="s">
        <v>154</v>
      </c>
      <c r="BH38" s="56" t="s">
        <v>155</v>
      </c>
    </row>
    <row r="39" spans="1:60" x14ac:dyDescent="0.3">
      <c r="A39" s="54">
        <v>46054</v>
      </c>
      <c r="B39" s="55">
        <v>5668152.0999999959</v>
      </c>
      <c r="C39" s="55">
        <v>5523680.0099999597</v>
      </c>
      <c r="D39" s="55">
        <v>5523680.0099999597</v>
      </c>
      <c r="E39" s="55">
        <v>5232322.9899999965</v>
      </c>
      <c r="F39" s="55">
        <v>1153099.0599999998</v>
      </c>
      <c r="G39" s="55">
        <v>1164321.5199999996</v>
      </c>
      <c r="H39" s="55">
        <v>-717269.94999999925</v>
      </c>
      <c r="I39" s="56" t="s">
        <v>185</v>
      </c>
      <c r="J39" s="55">
        <v>21395580.07</v>
      </c>
      <c r="K39" s="55">
        <v>5668152.0999999996</v>
      </c>
      <c r="L39" s="55">
        <v>5523680.0099999998</v>
      </c>
      <c r="M39" s="55">
        <v>21540052.16</v>
      </c>
      <c r="N39" s="55">
        <v>0</v>
      </c>
      <c r="O39" s="56" t="s">
        <v>186</v>
      </c>
      <c r="P39" s="55">
        <v>603062.85</v>
      </c>
      <c r="Q39" s="55">
        <v>531375.06999999995</v>
      </c>
      <c r="R39" s="55">
        <v>0</v>
      </c>
      <c r="S39" s="55">
        <v>0</v>
      </c>
      <c r="T39" s="57">
        <v>0</v>
      </c>
      <c r="U39" s="56" t="s">
        <v>187</v>
      </c>
      <c r="V39" s="55">
        <v>7615783.0899999999</v>
      </c>
      <c r="W39" s="55">
        <v>5679642.9700000007</v>
      </c>
      <c r="X39" s="55">
        <v>707111.74</v>
      </c>
      <c r="Y39" s="55">
        <v>556770.53</v>
      </c>
      <c r="Z39" s="55">
        <v>672257.85</v>
      </c>
      <c r="AA39" s="58">
        <v>831</v>
      </c>
      <c r="AB39" s="58">
        <v>831</v>
      </c>
      <c r="AC39" s="55">
        <v>9164.6005896510233</v>
      </c>
      <c r="AD39" s="56" t="s">
        <v>187</v>
      </c>
      <c r="AE39" s="55">
        <v>69535701.520000041</v>
      </c>
      <c r="AF39" s="55">
        <v>0</v>
      </c>
      <c r="AG39" s="55">
        <v>67194.51999999999</v>
      </c>
      <c r="AH39" s="55">
        <v>11811</v>
      </c>
      <c r="AI39" s="55">
        <v>24168</v>
      </c>
      <c r="AJ39" s="55">
        <v>31214.559999999998</v>
      </c>
      <c r="AK39" s="55">
        <v>5796251.340000012</v>
      </c>
      <c r="AL39" s="55">
        <v>69514779.64000003</v>
      </c>
      <c r="AM39" s="56" t="s">
        <v>187</v>
      </c>
      <c r="AN39" s="58">
        <v>3654</v>
      </c>
      <c r="AO39" s="58">
        <v>3626</v>
      </c>
      <c r="AP39" s="58">
        <v>2</v>
      </c>
      <c r="AQ39" s="58">
        <v>0</v>
      </c>
      <c r="AR39" s="59">
        <v>1.0000582520908174</v>
      </c>
      <c r="AS39" s="59">
        <v>1.0004488997639727</v>
      </c>
      <c r="AT39" s="59">
        <v>5.4734537493158185E-4</v>
      </c>
      <c r="AU39" s="59">
        <v>0</v>
      </c>
      <c r="AV39" s="56" t="s">
        <v>187</v>
      </c>
      <c r="AW39" s="55">
        <v>8218845.9399999995</v>
      </c>
      <c r="AX39" s="55">
        <v>-2695165.9300000397</v>
      </c>
      <c r="AY39" s="59">
        <v>-0.48792941030631126</v>
      </c>
      <c r="AZ39" s="55">
        <v>6647.0276895306379</v>
      </c>
      <c r="BA39" s="59">
        <v>4.4889976397264052E-4</v>
      </c>
      <c r="BB39" s="56" t="s">
        <v>128</v>
      </c>
      <c r="BC39" s="55">
        <v>5792898.3033333356</v>
      </c>
      <c r="BD39" s="55">
        <v>3353.0366666764021</v>
      </c>
      <c r="BE39" s="55">
        <v>69566916.080000043</v>
      </c>
      <c r="BF39" s="55">
        <v>-52136.440000012517</v>
      </c>
      <c r="BG39" s="56" t="s">
        <v>154</v>
      </c>
      <c r="BH39" s="56" t="s">
        <v>155</v>
      </c>
    </row>
    <row r="40" spans="1:60" x14ac:dyDescent="0.3">
      <c r="A40" s="54">
        <v>46082</v>
      </c>
      <c r="B40" s="55">
        <v>5701418.5500000017</v>
      </c>
      <c r="C40" s="55">
        <v>5894525.5099999579</v>
      </c>
      <c r="D40" s="55">
        <v>5894525.5099999579</v>
      </c>
      <c r="E40" s="55">
        <v>4878939.1899999995</v>
      </c>
      <c r="F40" s="55">
        <v>1500534.2799999996</v>
      </c>
      <c r="G40" s="55">
        <v>1519994.6299999997</v>
      </c>
      <c r="H40" s="55">
        <v>-678054.91999999899</v>
      </c>
      <c r="I40" s="56" t="s">
        <v>185</v>
      </c>
      <c r="J40" s="55">
        <v>21540052.16</v>
      </c>
      <c r="K40" s="55">
        <v>5701418.5499999998</v>
      </c>
      <c r="L40" s="55">
        <v>5894525.5100000007</v>
      </c>
      <c r="M40" s="55">
        <v>21346945.199999999</v>
      </c>
      <c r="N40" s="55">
        <v>0</v>
      </c>
      <c r="O40" s="56" t="s">
        <v>186</v>
      </c>
      <c r="P40" s="55">
        <v>666471.06999999983</v>
      </c>
      <c r="Q40" s="55">
        <v>688785.7899999998</v>
      </c>
      <c r="R40" s="55">
        <v>0</v>
      </c>
      <c r="S40" s="55">
        <v>0</v>
      </c>
      <c r="T40" s="57">
        <v>0</v>
      </c>
      <c r="U40" s="56" t="s">
        <v>187</v>
      </c>
      <c r="V40" s="55">
        <v>7599129.6400000006</v>
      </c>
      <c r="W40" s="55">
        <v>5668809.9800000004</v>
      </c>
      <c r="X40" s="55">
        <v>706883.64</v>
      </c>
      <c r="Y40" s="55">
        <v>554462.46</v>
      </c>
      <c r="Z40" s="55">
        <v>668973.56000000006</v>
      </c>
      <c r="AA40" s="58">
        <v>840</v>
      </c>
      <c r="AB40" s="58">
        <v>840</v>
      </c>
      <c r="AC40" s="55">
        <v>9046.5829047619063</v>
      </c>
      <c r="AD40" s="56" t="s">
        <v>187</v>
      </c>
      <c r="AE40" s="55">
        <v>69566916.079999998</v>
      </c>
      <c r="AF40" s="55">
        <v>0</v>
      </c>
      <c r="AG40" s="55">
        <v>58709.64</v>
      </c>
      <c r="AH40" s="55">
        <v>16550</v>
      </c>
      <c r="AI40" s="55">
        <v>231788</v>
      </c>
      <c r="AJ40" s="55">
        <v>-189428.4</v>
      </c>
      <c r="AK40" s="55">
        <v>5780440.6400000034</v>
      </c>
      <c r="AL40" s="55">
        <v>69325251.239999995</v>
      </c>
      <c r="AM40" s="56" t="s">
        <v>187</v>
      </c>
      <c r="AN40" s="58">
        <v>3652</v>
      </c>
      <c r="AO40" s="58">
        <v>3615</v>
      </c>
      <c r="AP40" s="58">
        <v>11</v>
      </c>
      <c r="AQ40" s="58">
        <v>0</v>
      </c>
      <c r="AR40" s="59">
        <v>0.99700565309290901</v>
      </c>
      <c r="AS40" s="59">
        <v>0.99727415831137411</v>
      </c>
      <c r="AT40" s="59">
        <v>3.0120481927710845E-3</v>
      </c>
      <c r="AU40" s="59">
        <v>0</v>
      </c>
      <c r="AV40" s="56" t="s">
        <v>187</v>
      </c>
      <c r="AW40" s="55">
        <v>8265600.7100000009</v>
      </c>
      <c r="AX40" s="55">
        <v>-2371075.200000043</v>
      </c>
      <c r="AY40" s="59">
        <v>-0.4022503925002201</v>
      </c>
      <c r="AZ40" s="55">
        <v>7017.292273809474</v>
      </c>
      <c r="BA40" s="59">
        <v>-2.7229667588277544E-3</v>
      </c>
      <c r="BB40" s="56" t="s">
        <v>128</v>
      </c>
      <c r="BC40" s="55">
        <v>5777104.2699999996</v>
      </c>
      <c r="BD40" s="55">
        <v>3336.370000003837</v>
      </c>
      <c r="BE40" s="55">
        <v>69377487.679999992</v>
      </c>
      <c r="BF40" s="55">
        <v>-52236.439999997616</v>
      </c>
      <c r="BG40" s="56" t="s">
        <v>154</v>
      </c>
      <c r="BH40" s="56" t="s">
        <v>155</v>
      </c>
    </row>
    <row r="41" spans="1:60" x14ac:dyDescent="0.3">
      <c r="A41" s="54">
        <v>46113</v>
      </c>
      <c r="B41" s="55">
        <v>5794043.8900000006</v>
      </c>
      <c r="C41" s="55">
        <v>5770015.6699999878</v>
      </c>
      <c r="D41" s="55">
        <v>5770015.6699999878</v>
      </c>
      <c r="E41" s="55">
        <v>4159533.7100000014</v>
      </c>
      <c r="F41" s="55">
        <v>2187353.1199999992</v>
      </c>
      <c r="G41" s="55">
        <v>2199257.9699999993</v>
      </c>
      <c r="H41" s="55">
        <v>-552842.93999999575</v>
      </c>
      <c r="I41" s="56" t="s">
        <v>188</v>
      </c>
      <c r="J41" s="55">
        <v>21346945.199999999</v>
      </c>
      <c r="K41" s="55">
        <v>5794043.8899999997</v>
      </c>
      <c r="L41" s="55">
        <v>5770015.6700000009</v>
      </c>
      <c r="M41" s="55">
        <v>21370973.419999998</v>
      </c>
      <c r="N41" s="55">
        <v>0</v>
      </c>
      <c r="O41" s="56" t="s">
        <v>186</v>
      </c>
      <c r="P41" s="55">
        <v>723987.73999999987</v>
      </c>
      <c r="Q41" s="55">
        <v>670024.62999999989</v>
      </c>
      <c r="R41" s="55">
        <v>0</v>
      </c>
      <c r="S41" s="55">
        <v>0</v>
      </c>
      <c r="T41" s="57">
        <v>0</v>
      </c>
      <c r="U41" s="56" t="s">
        <v>186</v>
      </c>
      <c r="V41" s="55">
        <v>7618267.2399999993</v>
      </c>
      <c r="W41" s="55">
        <v>5685112.6099999994</v>
      </c>
      <c r="X41" s="55">
        <v>706700.67</v>
      </c>
      <c r="Y41" s="55">
        <v>556659.81000000006</v>
      </c>
      <c r="Z41" s="55">
        <v>669794.15</v>
      </c>
      <c r="AA41" s="58">
        <v>847</v>
      </c>
      <c r="AB41" s="58">
        <v>847</v>
      </c>
      <c r="AC41" s="55">
        <v>8994.4123258559612</v>
      </c>
      <c r="AD41" s="56" t="s">
        <v>187</v>
      </c>
      <c r="AE41" s="55">
        <v>69377487.679999933</v>
      </c>
      <c r="AF41" s="55">
        <v>0</v>
      </c>
      <c r="AG41" s="55">
        <v>89212.56</v>
      </c>
      <c r="AH41" s="55">
        <v>23399</v>
      </c>
      <c r="AI41" s="55">
        <v>20400</v>
      </c>
      <c r="AJ41" s="55">
        <v>46013.999999999993</v>
      </c>
      <c r="AK41" s="55">
        <v>5784225.1400000053</v>
      </c>
      <c r="AL41" s="55">
        <v>69371265.23999995</v>
      </c>
      <c r="AM41" s="56" t="s">
        <v>187</v>
      </c>
      <c r="AN41" s="58">
        <v>3642</v>
      </c>
      <c r="AO41" s="58">
        <v>3613</v>
      </c>
      <c r="AP41" s="58">
        <v>2</v>
      </c>
      <c r="AQ41" s="58">
        <v>0</v>
      </c>
      <c r="AR41" s="59">
        <v>0.9999456884340151</v>
      </c>
      <c r="AS41" s="59">
        <v>1.0006545927435349</v>
      </c>
      <c r="AT41" s="59">
        <v>5.4914881933003845E-4</v>
      </c>
      <c r="AU41" s="59">
        <v>0</v>
      </c>
      <c r="AV41" s="56" t="s">
        <v>187</v>
      </c>
      <c r="AW41" s="55">
        <v>8342254.9799999995</v>
      </c>
      <c r="AX41" s="55">
        <v>-2572239.3100000117</v>
      </c>
      <c r="AY41" s="59">
        <v>-0.4457941636751252</v>
      </c>
      <c r="AZ41" s="55">
        <v>6812.2971310507528</v>
      </c>
      <c r="BA41" s="59">
        <v>6.6324108206738735E-4</v>
      </c>
      <c r="BB41" s="56" t="s">
        <v>128</v>
      </c>
      <c r="BC41" s="55">
        <v>5780938.7699999958</v>
      </c>
      <c r="BD41" s="55">
        <v>3286.370000009425</v>
      </c>
      <c r="BE41" s="55">
        <v>69423501.679999933</v>
      </c>
      <c r="BF41" s="55">
        <v>-52236.439999982715</v>
      </c>
      <c r="BG41" s="56" t="s">
        <v>154</v>
      </c>
      <c r="BH41" s="56" t="s">
        <v>155</v>
      </c>
    </row>
    <row r="42" spans="1:60" x14ac:dyDescent="0.3">
      <c r="A42" s="54">
        <v>46143</v>
      </c>
      <c r="B42" s="55">
        <v>5788639.8900000006</v>
      </c>
      <c r="C42" s="55">
        <v>5892617.2199999485</v>
      </c>
      <c r="D42" s="55">
        <v>5892617.2199999485</v>
      </c>
      <c r="E42" s="55">
        <v>2612086.1400000006</v>
      </c>
      <c r="F42" s="55">
        <v>3898819.3799999985</v>
      </c>
      <c r="G42" s="55">
        <v>3903899.9999999981</v>
      </c>
      <c r="H42" s="55">
        <v>-722265.62999999803</v>
      </c>
      <c r="I42" s="56" t="s">
        <v>185</v>
      </c>
      <c r="J42" s="55">
        <v>21370973.419999998</v>
      </c>
      <c r="K42" s="55">
        <v>5788639.8900000006</v>
      </c>
      <c r="L42" s="55">
        <v>5892617.2199999997</v>
      </c>
      <c r="M42" s="55">
        <v>21266996.09</v>
      </c>
      <c r="N42" s="55">
        <v>0</v>
      </c>
      <c r="O42" s="56" t="s">
        <v>186</v>
      </c>
      <c r="P42" s="55">
        <v>617207.43999999994</v>
      </c>
      <c r="Q42" s="55">
        <v>719013.4</v>
      </c>
      <c r="R42" s="55">
        <v>0</v>
      </c>
      <c r="S42" s="55">
        <v>0</v>
      </c>
      <c r="T42" s="57">
        <v>0</v>
      </c>
      <c r="U42" s="56" t="s">
        <v>186</v>
      </c>
      <c r="V42" s="55">
        <v>7621982.7300000004</v>
      </c>
      <c r="W42" s="55">
        <v>5688235.71</v>
      </c>
      <c r="X42" s="55">
        <v>708255.13</v>
      </c>
      <c r="Y42" s="55">
        <v>556245.53</v>
      </c>
      <c r="Z42" s="55">
        <v>669246.3600000001</v>
      </c>
      <c r="AA42" s="58">
        <v>852</v>
      </c>
      <c r="AB42" s="58">
        <v>852</v>
      </c>
      <c r="AC42" s="55">
        <v>8945.9891197183097</v>
      </c>
      <c r="AD42" s="56" t="s">
        <v>187</v>
      </c>
      <c r="AE42" s="55">
        <v>69423501.679999992</v>
      </c>
      <c r="AF42" s="55">
        <v>0</v>
      </c>
      <c r="AG42" s="55">
        <v>37808.160000000003</v>
      </c>
      <c r="AH42" s="55">
        <v>29624</v>
      </c>
      <c r="AI42" s="55">
        <v>141692</v>
      </c>
      <c r="AJ42" s="55">
        <v>-133406.60000000003</v>
      </c>
      <c r="AK42" s="55">
        <v>5773099.5900000008</v>
      </c>
      <c r="AL42" s="55">
        <v>69237758.639999986</v>
      </c>
      <c r="AM42" s="56" t="s">
        <v>187</v>
      </c>
      <c r="AN42" s="58">
        <v>3640</v>
      </c>
      <c r="AO42" s="58">
        <v>3604</v>
      </c>
      <c r="AP42" s="58">
        <v>9</v>
      </c>
      <c r="AQ42" s="58">
        <v>0</v>
      </c>
      <c r="AR42" s="59">
        <v>0.9981089372212143</v>
      </c>
      <c r="AS42" s="59">
        <v>0.9980769250071051</v>
      </c>
      <c r="AT42" s="59">
        <v>2.4725274725274724E-3</v>
      </c>
      <c r="AU42" s="59">
        <v>0</v>
      </c>
      <c r="AV42" s="56" t="s">
        <v>187</v>
      </c>
      <c r="AW42" s="55">
        <v>8239190.1699999999</v>
      </c>
      <c r="AX42" s="55">
        <v>-2346572.9500000514</v>
      </c>
      <c r="AY42" s="59">
        <v>-0.39822253209246672</v>
      </c>
      <c r="AZ42" s="55">
        <v>6916.2173943661364</v>
      </c>
      <c r="BA42" s="59">
        <v>-1.9216345584946596E-3</v>
      </c>
      <c r="BB42" s="56" t="s">
        <v>128</v>
      </c>
      <c r="BC42" s="55">
        <v>5769813.2199999988</v>
      </c>
      <c r="BD42" s="55">
        <v>3286.3700000019744</v>
      </c>
      <c r="BE42" s="55">
        <v>69290095.079999998</v>
      </c>
      <c r="BF42" s="55">
        <v>-52336.440000012517</v>
      </c>
      <c r="BG42" s="56" t="s">
        <v>154</v>
      </c>
      <c r="BH42" s="56" t="s">
        <v>155</v>
      </c>
    </row>
    <row r="43" spans="1:60" x14ac:dyDescent="0.3">
      <c r="A43" s="60">
        <v>46174</v>
      </c>
      <c r="B43" s="61">
        <v>6028900.7300000023</v>
      </c>
      <c r="C43" s="61">
        <v>5797387.8599999938</v>
      </c>
      <c r="D43" s="61">
        <v>5797387.8599999938</v>
      </c>
      <c r="E43" s="61">
        <v>339676.06</v>
      </c>
      <c r="F43" s="61">
        <v>6393155.3999999948</v>
      </c>
      <c r="G43" s="61">
        <v>6393361.0199999949</v>
      </c>
      <c r="H43" s="61">
        <v>-703930.729999993</v>
      </c>
      <c r="I43" s="62" t="s">
        <v>185</v>
      </c>
      <c r="J43" s="61">
        <v>21266996.089999996</v>
      </c>
      <c r="K43" s="61">
        <v>6028900.7299999995</v>
      </c>
      <c r="L43" s="61">
        <v>5797387.8600000003</v>
      </c>
      <c r="M43" s="61">
        <v>21498508.960000001</v>
      </c>
      <c r="N43" s="61">
        <v>0</v>
      </c>
      <c r="O43" s="62" t="s">
        <v>186</v>
      </c>
      <c r="P43" s="61">
        <v>77774.25</v>
      </c>
      <c r="Q43" s="61">
        <v>75311.75</v>
      </c>
      <c r="R43" s="61">
        <v>2647064.0100000007</v>
      </c>
      <c r="S43" s="61">
        <v>2068723.24</v>
      </c>
      <c r="T43" s="63">
        <v>134.23666666666668</v>
      </c>
      <c r="U43" s="62" t="s">
        <v>186</v>
      </c>
      <c r="V43" s="61">
        <v>7655791.1799999997</v>
      </c>
      <c r="W43" s="61">
        <v>5714669.0800000001</v>
      </c>
      <c r="X43" s="61">
        <v>711755.81</v>
      </c>
      <c r="Y43" s="61">
        <v>558714.83000000007</v>
      </c>
      <c r="Z43" s="61">
        <v>670651.46000000008</v>
      </c>
      <c r="AA43" s="64">
        <v>854</v>
      </c>
      <c r="AB43" s="64">
        <v>854</v>
      </c>
      <c r="AC43" s="61">
        <v>8964.6266744730674</v>
      </c>
      <c r="AD43" s="62" t="s">
        <v>187</v>
      </c>
      <c r="AE43" s="61">
        <v>69290095.080000013</v>
      </c>
      <c r="AF43" s="61">
        <v>0</v>
      </c>
      <c r="AG43" s="61">
        <v>1304.76</v>
      </c>
      <c r="AH43" s="61">
        <v>0</v>
      </c>
      <c r="AI43" s="61">
        <v>6000</v>
      </c>
      <c r="AJ43" s="61">
        <v>-1747089.04</v>
      </c>
      <c r="AK43" s="61">
        <v>5627492.1700000009</v>
      </c>
      <c r="AL43" s="61">
        <v>67446138.400000021</v>
      </c>
      <c r="AM43" s="62" t="s">
        <v>187</v>
      </c>
      <c r="AN43" s="64">
        <v>3632</v>
      </c>
      <c r="AO43" s="64">
        <v>3518</v>
      </c>
      <c r="AP43" s="64">
        <v>1</v>
      </c>
      <c r="AQ43" s="64">
        <v>0</v>
      </c>
      <c r="AR43" s="65">
        <v>0.97534476986894625</v>
      </c>
      <c r="AS43" s="65">
        <v>0.97478587613449108</v>
      </c>
      <c r="AT43" s="65">
        <v>2.7533039647577095E-4</v>
      </c>
      <c r="AU43" s="65">
        <v>0</v>
      </c>
      <c r="AV43" s="62" t="s">
        <v>187</v>
      </c>
      <c r="AW43" s="61">
        <v>7733565.4299999997</v>
      </c>
      <c r="AX43" s="61">
        <v>-1936177.5700000059</v>
      </c>
      <c r="AY43" s="65">
        <v>-0.33397413054920355</v>
      </c>
      <c r="AZ43" s="61">
        <v>6788.5103747072526</v>
      </c>
      <c r="BA43" s="65">
        <v>-2.521412386550877E-2</v>
      </c>
      <c r="BB43" s="62" t="s">
        <v>128</v>
      </c>
      <c r="BC43" s="61">
        <v>5620511.5333333351</v>
      </c>
      <c r="BD43" s="61">
        <v>6980.636666665785</v>
      </c>
      <c r="BE43" s="61">
        <v>67543006.040000007</v>
      </c>
      <c r="BF43" s="61">
        <v>-96867.639999985695</v>
      </c>
      <c r="BG43" s="62" t="s">
        <v>154</v>
      </c>
      <c r="BH43" s="62" t="s">
        <v>155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B7B8-0A21-417C-804A-1FC0195BF068}">
  <dimension ref="A1:CG34"/>
  <sheetViews>
    <sheetView showGridLines="0" zoomScale="110" zoomScaleNormal="110" workbookViewId="0">
      <pane ySplit="7" topLeftCell="A17" activePane="bottomLeft" state="frozen"/>
      <selection pane="bottomLeft" activeCell="B26" sqref="B26"/>
    </sheetView>
  </sheetViews>
  <sheetFormatPr defaultRowHeight="14.4" x14ac:dyDescent="0.3"/>
  <cols>
    <col min="1" max="1" width="27.21875" bestFit="1" customWidth="1"/>
    <col min="2" max="25" width="10.88671875" bestFit="1" customWidth="1"/>
    <col min="26" max="26" width="10.88671875" bestFit="1" customWidth="1" collapsed="1"/>
    <col min="27" max="42" width="10.88671875" bestFit="1" customWidth="1"/>
    <col min="43" max="43" width="11" bestFit="1" customWidth="1"/>
    <col min="44" max="84" width="10.88671875" bestFit="1" customWidth="1"/>
    <col min="85" max="85" width="11" bestFit="1" customWidth="1"/>
  </cols>
  <sheetData>
    <row r="1" spans="1:85" s="3" customFormat="1" ht="25.95" customHeight="1" x14ac:dyDescent="0.4">
      <c r="A1" s="121" t="s">
        <v>24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2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</row>
    <row r="2" spans="1:85" x14ac:dyDescent="0.3">
      <c r="A2" s="123" t="s">
        <v>25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4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</row>
    <row r="3" spans="1:85" s="5" customFormat="1" ht="15.6" x14ac:dyDescent="0.3">
      <c r="A3" s="13"/>
      <c r="B3" s="1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5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</row>
    <row r="4" spans="1:85" x14ac:dyDescent="0.3">
      <c r="A4" s="45" t="s">
        <v>21</v>
      </c>
      <c r="B4" s="46">
        <f>'02_Control'!$B$8</f>
        <v>44927</v>
      </c>
      <c r="C4" s="46">
        <f>EDATE(B4,1)</f>
        <v>44958</v>
      </c>
      <c r="D4" s="46">
        <f t="shared" ref="D4:BO4" si="0">EDATE(C4,1)</f>
        <v>44986</v>
      </c>
      <c r="E4" s="46">
        <f t="shared" si="0"/>
        <v>45017</v>
      </c>
      <c r="F4" s="46">
        <f t="shared" si="0"/>
        <v>45047</v>
      </c>
      <c r="G4" s="46">
        <f t="shared" si="0"/>
        <v>45078</v>
      </c>
      <c r="H4" s="46">
        <f t="shared" si="0"/>
        <v>45108</v>
      </c>
      <c r="I4" s="46">
        <f t="shared" si="0"/>
        <v>45139</v>
      </c>
      <c r="J4" s="46">
        <f t="shared" si="0"/>
        <v>45170</v>
      </c>
      <c r="K4" s="46">
        <f t="shared" si="0"/>
        <v>45200</v>
      </c>
      <c r="L4" s="46">
        <f t="shared" si="0"/>
        <v>45231</v>
      </c>
      <c r="M4" s="46">
        <f t="shared" si="0"/>
        <v>45261</v>
      </c>
      <c r="N4" s="46">
        <f t="shared" si="0"/>
        <v>45292</v>
      </c>
      <c r="O4" s="46">
        <f t="shared" si="0"/>
        <v>45323</v>
      </c>
      <c r="P4" s="46">
        <f t="shared" si="0"/>
        <v>45352</v>
      </c>
      <c r="Q4" s="46">
        <f t="shared" si="0"/>
        <v>45383</v>
      </c>
      <c r="R4" s="46">
        <f t="shared" si="0"/>
        <v>45413</v>
      </c>
      <c r="S4" s="46">
        <f t="shared" si="0"/>
        <v>45444</v>
      </c>
      <c r="T4" s="46">
        <f t="shared" si="0"/>
        <v>45474</v>
      </c>
      <c r="U4" s="46">
        <f t="shared" si="0"/>
        <v>45505</v>
      </c>
      <c r="V4" s="46">
        <f t="shared" si="0"/>
        <v>45536</v>
      </c>
      <c r="W4" s="46">
        <f t="shared" si="0"/>
        <v>45566</v>
      </c>
      <c r="X4" s="46">
        <f t="shared" si="0"/>
        <v>45597</v>
      </c>
      <c r="Y4" s="46">
        <f t="shared" si="0"/>
        <v>45627</v>
      </c>
      <c r="Z4" s="46">
        <f t="shared" si="0"/>
        <v>45658</v>
      </c>
      <c r="AA4" s="46">
        <f t="shared" si="0"/>
        <v>45689</v>
      </c>
      <c r="AB4" s="46">
        <f t="shared" si="0"/>
        <v>45717</v>
      </c>
      <c r="AC4" s="46">
        <f t="shared" si="0"/>
        <v>45748</v>
      </c>
      <c r="AD4" s="46">
        <f t="shared" si="0"/>
        <v>45778</v>
      </c>
      <c r="AE4" s="46">
        <f t="shared" si="0"/>
        <v>45809</v>
      </c>
      <c r="AF4" s="46">
        <f t="shared" si="0"/>
        <v>45839</v>
      </c>
      <c r="AG4" s="46">
        <f t="shared" si="0"/>
        <v>45870</v>
      </c>
      <c r="AH4" s="46">
        <f t="shared" si="0"/>
        <v>45901</v>
      </c>
      <c r="AI4" s="46">
        <f t="shared" si="0"/>
        <v>45931</v>
      </c>
      <c r="AJ4" s="46">
        <f t="shared" si="0"/>
        <v>45962</v>
      </c>
      <c r="AK4" s="46">
        <f t="shared" si="0"/>
        <v>45992</v>
      </c>
      <c r="AL4" s="46">
        <f t="shared" si="0"/>
        <v>46023</v>
      </c>
      <c r="AM4" s="46">
        <f t="shared" si="0"/>
        <v>46054</v>
      </c>
      <c r="AN4" s="46">
        <f t="shared" si="0"/>
        <v>46082</v>
      </c>
      <c r="AO4" s="46">
        <f t="shared" si="0"/>
        <v>46113</v>
      </c>
      <c r="AP4" s="46">
        <f t="shared" si="0"/>
        <v>46143</v>
      </c>
      <c r="AQ4" s="47">
        <f t="shared" si="0"/>
        <v>46174</v>
      </c>
      <c r="AR4" s="46">
        <f t="shared" si="0"/>
        <v>46204</v>
      </c>
      <c r="AS4" s="46">
        <f t="shared" si="0"/>
        <v>46235</v>
      </c>
      <c r="AT4" s="46">
        <f t="shared" si="0"/>
        <v>46266</v>
      </c>
      <c r="AU4" s="46">
        <f t="shared" si="0"/>
        <v>46296</v>
      </c>
      <c r="AV4" s="46">
        <f t="shared" si="0"/>
        <v>46327</v>
      </c>
      <c r="AW4" s="46">
        <f t="shared" si="0"/>
        <v>46357</v>
      </c>
      <c r="AX4" s="46">
        <f t="shared" si="0"/>
        <v>46388</v>
      </c>
      <c r="AY4" s="46">
        <f t="shared" si="0"/>
        <v>46419</v>
      </c>
      <c r="AZ4" s="46">
        <f t="shared" si="0"/>
        <v>46447</v>
      </c>
      <c r="BA4" s="46">
        <f t="shared" si="0"/>
        <v>46478</v>
      </c>
      <c r="BB4" s="46">
        <f t="shared" si="0"/>
        <v>46508</v>
      </c>
      <c r="BC4" s="46">
        <f t="shared" si="0"/>
        <v>46539</v>
      </c>
      <c r="BD4" s="46">
        <f t="shared" si="0"/>
        <v>46569</v>
      </c>
      <c r="BE4" s="46">
        <f t="shared" si="0"/>
        <v>46600</v>
      </c>
      <c r="BF4" s="46">
        <f t="shared" si="0"/>
        <v>46631</v>
      </c>
      <c r="BG4" s="46">
        <f t="shared" si="0"/>
        <v>46661</v>
      </c>
      <c r="BH4" s="46">
        <f t="shared" si="0"/>
        <v>46692</v>
      </c>
      <c r="BI4" s="46">
        <f t="shared" si="0"/>
        <v>46722</v>
      </c>
      <c r="BJ4" s="46">
        <f t="shared" si="0"/>
        <v>46753</v>
      </c>
      <c r="BK4" s="46">
        <f t="shared" si="0"/>
        <v>46784</v>
      </c>
      <c r="BL4" s="46">
        <f t="shared" si="0"/>
        <v>46813</v>
      </c>
      <c r="BM4" s="46">
        <f t="shared" si="0"/>
        <v>46844</v>
      </c>
      <c r="BN4" s="46">
        <f t="shared" si="0"/>
        <v>46874</v>
      </c>
      <c r="BO4" s="46">
        <f t="shared" si="0"/>
        <v>46905</v>
      </c>
      <c r="BP4" s="46">
        <f t="shared" ref="BP4:CG4" si="1">EDATE(BO4,1)</f>
        <v>46935</v>
      </c>
      <c r="BQ4" s="46">
        <f t="shared" si="1"/>
        <v>46966</v>
      </c>
      <c r="BR4" s="46">
        <f t="shared" si="1"/>
        <v>46997</v>
      </c>
      <c r="BS4" s="46">
        <f t="shared" si="1"/>
        <v>47027</v>
      </c>
      <c r="BT4" s="46">
        <f t="shared" si="1"/>
        <v>47058</v>
      </c>
      <c r="BU4" s="46">
        <f t="shared" si="1"/>
        <v>47088</v>
      </c>
      <c r="BV4" s="46">
        <f t="shared" si="1"/>
        <v>47119</v>
      </c>
      <c r="BW4" s="46">
        <f t="shared" si="1"/>
        <v>47150</v>
      </c>
      <c r="BX4" s="46">
        <f t="shared" si="1"/>
        <v>47178</v>
      </c>
      <c r="BY4" s="46">
        <f t="shared" si="1"/>
        <v>47209</v>
      </c>
      <c r="BZ4" s="46">
        <f t="shared" si="1"/>
        <v>47239</v>
      </c>
      <c r="CA4" s="46">
        <f t="shared" si="1"/>
        <v>47270</v>
      </c>
      <c r="CB4" s="46">
        <f t="shared" si="1"/>
        <v>47300</v>
      </c>
      <c r="CC4" s="46">
        <f t="shared" si="1"/>
        <v>47331</v>
      </c>
      <c r="CD4" s="46">
        <f t="shared" si="1"/>
        <v>47362</v>
      </c>
      <c r="CE4" s="46">
        <f t="shared" si="1"/>
        <v>47392</v>
      </c>
      <c r="CF4" s="46">
        <f t="shared" si="1"/>
        <v>47423</v>
      </c>
      <c r="CG4" s="46">
        <f t="shared" si="1"/>
        <v>47453</v>
      </c>
    </row>
    <row r="5" spans="1:85" x14ac:dyDescent="0.3">
      <c r="A5" s="16" t="s">
        <v>22</v>
      </c>
      <c r="B5" s="17" t="str">
        <f>IF(B4&lt;='02_Control'!$B$9,"Actual","Forecast")</f>
        <v>Actual</v>
      </c>
      <c r="C5" s="17" t="str">
        <f>IF(C4&lt;='02_Control'!$B$9,"Actual","Forecast")</f>
        <v>Actual</v>
      </c>
      <c r="D5" s="17" t="str">
        <f>IF(D4&lt;='02_Control'!$B$9,"Actual","Forecast")</f>
        <v>Actual</v>
      </c>
      <c r="E5" s="17" t="str">
        <f>IF(E4&lt;='02_Control'!$B$9,"Actual","Forecast")</f>
        <v>Actual</v>
      </c>
      <c r="F5" s="17" t="str">
        <f>IF(F4&lt;='02_Control'!$B$9,"Actual","Forecast")</f>
        <v>Actual</v>
      </c>
      <c r="G5" s="17" t="str">
        <f>IF(G4&lt;='02_Control'!$B$9,"Actual","Forecast")</f>
        <v>Actual</v>
      </c>
      <c r="H5" s="17" t="str">
        <f>IF(H4&lt;='02_Control'!$B$9,"Actual","Forecast")</f>
        <v>Actual</v>
      </c>
      <c r="I5" s="17" t="str">
        <f>IF(I4&lt;='02_Control'!$B$9,"Actual","Forecast")</f>
        <v>Actual</v>
      </c>
      <c r="J5" s="17" t="str">
        <f>IF(J4&lt;='02_Control'!$B$9,"Actual","Forecast")</f>
        <v>Actual</v>
      </c>
      <c r="K5" s="17" t="str">
        <f>IF(K4&lt;='02_Control'!$B$9,"Actual","Forecast")</f>
        <v>Actual</v>
      </c>
      <c r="L5" s="17" t="str">
        <f>IF(L4&lt;='02_Control'!$B$9,"Actual","Forecast")</f>
        <v>Actual</v>
      </c>
      <c r="M5" s="17" t="str">
        <f>IF(M4&lt;='02_Control'!$B$9,"Actual","Forecast")</f>
        <v>Actual</v>
      </c>
      <c r="N5" s="17" t="str">
        <f>IF(N4&lt;='02_Control'!$B$9,"Actual","Forecast")</f>
        <v>Actual</v>
      </c>
      <c r="O5" s="17" t="str">
        <f>IF(O4&lt;='02_Control'!$B$9,"Actual","Forecast")</f>
        <v>Actual</v>
      </c>
      <c r="P5" s="17" t="str">
        <f>IF(P4&lt;='02_Control'!$B$9,"Actual","Forecast")</f>
        <v>Actual</v>
      </c>
      <c r="Q5" s="17" t="str">
        <f>IF(Q4&lt;='02_Control'!$B$9,"Actual","Forecast")</f>
        <v>Actual</v>
      </c>
      <c r="R5" s="17" t="str">
        <f>IF(R4&lt;='02_Control'!$B$9,"Actual","Forecast")</f>
        <v>Actual</v>
      </c>
      <c r="S5" s="17" t="str">
        <f>IF(S4&lt;='02_Control'!$B$9,"Actual","Forecast")</f>
        <v>Actual</v>
      </c>
      <c r="T5" s="17" t="str">
        <f>IF(T4&lt;='02_Control'!$B$9,"Actual","Forecast")</f>
        <v>Actual</v>
      </c>
      <c r="U5" s="17" t="str">
        <f>IF(U4&lt;='02_Control'!$B$9,"Actual","Forecast")</f>
        <v>Actual</v>
      </c>
      <c r="V5" s="17" t="str">
        <f>IF(V4&lt;='02_Control'!$B$9,"Actual","Forecast")</f>
        <v>Actual</v>
      </c>
      <c r="W5" s="17" t="str">
        <f>IF(W4&lt;='02_Control'!$B$9,"Actual","Forecast")</f>
        <v>Actual</v>
      </c>
      <c r="X5" s="17" t="str">
        <f>IF(X4&lt;='02_Control'!$B$9,"Actual","Forecast")</f>
        <v>Actual</v>
      </c>
      <c r="Y5" s="17" t="str">
        <f>IF(Y4&lt;='02_Control'!$B$9,"Actual","Forecast")</f>
        <v>Actual</v>
      </c>
      <c r="Z5" s="17" t="str">
        <f>IF(Z4&lt;='02_Control'!$B$9,"Actual","Forecast")</f>
        <v>Actual</v>
      </c>
      <c r="AA5" s="17" t="str">
        <f>IF(AA4&lt;='02_Control'!$B$9,"Actual","Forecast")</f>
        <v>Actual</v>
      </c>
      <c r="AB5" s="17" t="str">
        <f>IF(AB4&lt;='02_Control'!$B$9,"Actual","Forecast")</f>
        <v>Actual</v>
      </c>
      <c r="AC5" s="17" t="str">
        <f>IF(AC4&lt;='02_Control'!$B$9,"Actual","Forecast")</f>
        <v>Actual</v>
      </c>
      <c r="AD5" s="17" t="str">
        <f>IF(AD4&lt;='02_Control'!$B$9,"Actual","Forecast")</f>
        <v>Actual</v>
      </c>
      <c r="AE5" s="17" t="str">
        <f>IF(AE4&lt;='02_Control'!$B$9,"Actual","Forecast")</f>
        <v>Actual</v>
      </c>
      <c r="AF5" s="17" t="str">
        <f>IF(AF4&lt;='02_Control'!$B$9,"Actual","Forecast")</f>
        <v>Actual</v>
      </c>
      <c r="AG5" s="17" t="str">
        <f>IF(AG4&lt;='02_Control'!$B$9,"Actual","Forecast")</f>
        <v>Actual</v>
      </c>
      <c r="AH5" s="17" t="str">
        <f>IF(AH4&lt;='02_Control'!$B$9,"Actual","Forecast")</f>
        <v>Actual</v>
      </c>
      <c r="AI5" s="17" t="str">
        <f>IF(AI4&lt;='02_Control'!$B$9,"Actual","Forecast")</f>
        <v>Actual</v>
      </c>
      <c r="AJ5" s="17" t="str">
        <f>IF(AJ4&lt;='02_Control'!$B$9,"Actual","Forecast")</f>
        <v>Actual</v>
      </c>
      <c r="AK5" s="17" t="str">
        <f>IF(AK4&lt;='02_Control'!$B$9,"Actual","Forecast")</f>
        <v>Actual</v>
      </c>
      <c r="AL5" s="17" t="str">
        <f>IF(AL4&lt;='02_Control'!$B$9,"Actual","Forecast")</f>
        <v>Actual</v>
      </c>
      <c r="AM5" s="17" t="str">
        <f>IF(AM4&lt;='02_Control'!$B$9,"Actual","Forecast")</f>
        <v>Actual</v>
      </c>
      <c r="AN5" s="17" t="str">
        <f>IF(AN4&lt;='02_Control'!$B$9,"Actual","Forecast")</f>
        <v>Actual</v>
      </c>
      <c r="AO5" s="17" t="str">
        <f>IF(AO4&lt;='02_Control'!$B$9,"Actual","Forecast")</f>
        <v>Actual</v>
      </c>
      <c r="AP5" s="17" t="str">
        <f>IF(AP4&lt;='02_Control'!$B$9,"Actual","Forecast")</f>
        <v>Actual</v>
      </c>
      <c r="AQ5" s="18" t="str">
        <f>IF(AQ4&lt;='02_Control'!$B$9,"Actual","Forecast")</f>
        <v>Actual</v>
      </c>
      <c r="AR5" s="19" t="str">
        <f>IF(AR4&lt;='02_Control'!$B$9,"Actual","Forecast")</f>
        <v>Forecast</v>
      </c>
      <c r="AS5" s="19" t="str">
        <f>IF(AS4&lt;='02_Control'!$B$9,"Actual","Forecast")</f>
        <v>Forecast</v>
      </c>
      <c r="AT5" s="19" t="str">
        <f>IF(AT4&lt;='02_Control'!$B$9,"Actual","Forecast")</f>
        <v>Forecast</v>
      </c>
      <c r="AU5" s="19" t="str">
        <f>IF(AU4&lt;='02_Control'!$B$9,"Actual","Forecast")</f>
        <v>Forecast</v>
      </c>
      <c r="AV5" s="19" t="str">
        <f>IF(AV4&lt;='02_Control'!$B$9,"Actual","Forecast")</f>
        <v>Forecast</v>
      </c>
      <c r="AW5" s="19" t="str">
        <f>IF(AW4&lt;='02_Control'!$B$9,"Actual","Forecast")</f>
        <v>Forecast</v>
      </c>
      <c r="AX5" s="19" t="str">
        <f>IF(AX4&lt;='02_Control'!$B$9,"Actual","Forecast")</f>
        <v>Forecast</v>
      </c>
      <c r="AY5" s="19" t="str">
        <f>IF(AY4&lt;='02_Control'!$B$9,"Actual","Forecast")</f>
        <v>Forecast</v>
      </c>
      <c r="AZ5" s="19" t="str">
        <f>IF(AZ4&lt;='02_Control'!$B$9,"Actual","Forecast")</f>
        <v>Forecast</v>
      </c>
      <c r="BA5" s="19" t="str">
        <f>IF(BA4&lt;='02_Control'!$B$9,"Actual","Forecast")</f>
        <v>Forecast</v>
      </c>
      <c r="BB5" s="19" t="str">
        <f>IF(BB4&lt;='02_Control'!$B$9,"Actual","Forecast")</f>
        <v>Forecast</v>
      </c>
      <c r="BC5" s="19" t="str">
        <f>IF(BC4&lt;='02_Control'!$B$9,"Actual","Forecast")</f>
        <v>Forecast</v>
      </c>
      <c r="BD5" s="19" t="str">
        <f>IF(BD4&lt;='02_Control'!$B$9,"Actual","Forecast")</f>
        <v>Forecast</v>
      </c>
      <c r="BE5" s="19" t="str">
        <f>IF(BE4&lt;='02_Control'!$B$9,"Actual","Forecast")</f>
        <v>Forecast</v>
      </c>
      <c r="BF5" s="19" t="str">
        <f>IF(BF4&lt;='02_Control'!$B$9,"Actual","Forecast")</f>
        <v>Forecast</v>
      </c>
      <c r="BG5" s="19" t="str">
        <f>IF(BG4&lt;='02_Control'!$B$9,"Actual","Forecast")</f>
        <v>Forecast</v>
      </c>
      <c r="BH5" s="19" t="str">
        <f>IF(BH4&lt;='02_Control'!$B$9,"Actual","Forecast")</f>
        <v>Forecast</v>
      </c>
      <c r="BI5" s="19" t="str">
        <f>IF(BI4&lt;='02_Control'!$B$9,"Actual","Forecast")</f>
        <v>Forecast</v>
      </c>
      <c r="BJ5" s="19" t="str">
        <f>IF(BJ4&lt;='02_Control'!$B$9,"Actual","Forecast")</f>
        <v>Forecast</v>
      </c>
      <c r="BK5" s="19" t="str">
        <f>IF(BK4&lt;='02_Control'!$B$9,"Actual","Forecast")</f>
        <v>Forecast</v>
      </c>
      <c r="BL5" s="19" t="str">
        <f>IF(BL4&lt;='02_Control'!$B$9,"Actual","Forecast")</f>
        <v>Forecast</v>
      </c>
      <c r="BM5" s="19" t="str">
        <f>IF(BM4&lt;='02_Control'!$B$9,"Actual","Forecast")</f>
        <v>Forecast</v>
      </c>
      <c r="BN5" s="19" t="str">
        <f>IF(BN4&lt;='02_Control'!$B$9,"Actual","Forecast")</f>
        <v>Forecast</v>
      </c>
      <c r="BO5" s="19" t="str">
        <f>IF(BO4&lt;='02_Control'!$B$9,"Actual","Forecast")</f>
        <v>Forecast</v>
      </c>
      <c r="BP5" s="19" t="str">
        <f>IF(BP4&lt;='02_Control'!$B$9,"Actual","Forecast")</f>
        <v>Forecast</v>
      </c>
      <c r="BQ5" s="19" t="str">
        <f>IF(BQ4&lt;='02_Control'!$B$9,"Actual","Forecast")</f>
        <v>Forecast</v>
      </c>
      <c r="BR5" s="19" t="str">
        <f>IF(BR4&lt;='02_Control'!$B$9,"Actual","Forecast")</f>
        <v>Forecast</v>
      </c>
      <c r="BS5" s="19" t="str">
        <f>IF(BS4&lt;='02_Control'!$B$9,"Actual","Forecast")</f>
        <v>Forecast</v>
      </c>
      <c r="BT5" s="19" t="str">
        <f>IF(BT4&lt;='02_Control'!$B$9,"Actual","Forecast")</f>
        <v>Forecast</v>
      </c>
      <c r="BU5" s="19" t="str">
        <f>IF(BU4&lt;='02_Control'!$B$9,"Actual","Forecast")</f>
        <v>Forecast</v>
      </c>
      <c r="BV5" s="19" t="str">
        <f>IF(BV4&lt;='02_Control'!$B$9,"Actual","Forecast")</f>
        <v>Forecast</v>
      </c>
      <c r="BW5" s="19" t="str">
        <f>IF(BW4&lt;='02_Control'!$B$9,"Actual","Forecast")</f>
        <v>Forecast</v>
      </c>
      <c r="BX5" s="19" t="str">
        <f>IF(BX4&lt;='02_Control'!$B$9,"Actual","Forecast")</f>
        <v>Forecast</v>
      </c>
      <c r="BY5" s="19" t="str">
        <f>IF(BY4&lt;='02_Control'!$B$9,"Actual","Forecast")</f>
        <v>Forecast</v>
      </c>
      <c r="BZ5" s="19" t="str">
        <f>IF(BZ4&lt;='02_Control'!$B$9,"Actual","Forecast")</f>
        <v>Forecast</v>
      </c>
      <c r="CA5" s="19" t="str">
        <f>IF(CA4&lt;='02_Control'!$B$9,"Actual","Forecast")</f>
        <v>Forecast</v>
      </c>
      <c r="CB5" s="19" t="str">
        <f>IF(CB4&lt;='02_Control'!$B$9,"Actual","Forecast")</f>
        <v>Forecast</v>
      </c>
      <c r="CC5" s="19" t="str">
        <f>IF(CC4&lt;='02_Control'!$B$9,"Actual","Forecast")</f>
        <v>Forecast</v>
      </c>
      <c r="CD5" s="19" t="str">
        <f>IF(CD4&lt;='02_Control'!$B$9,"Actual","Forecast")</f>
        <v>Forecast</v>
      </c>
      <c r="CE5" s="19" t="str">
        <f>IF(CE4&lt;='02_Control'!$B$9,"Actual","Forecast")</f>
        <v>Forecast</v>
      </c>
      <c r="CF5" s="19" t="str">
        <f>IF(CF4&lt;='02_Control'!$B$9,"Actual","Forecast")</f>
        <v>Forecast</v>
      </c>
      <c r="CG5" s="19" t="str">
        <f>IF(CG4&lt;='02_Control'!$B$9,"Actual","Forecast")</f>
        <v>Forecast</v>
      </c>
    </row>
    <row r="6" spans="1:85" x14ac:dyDescent="0.3">
      <c r="A6" s="16" t="s">
        <v>129</v>
      </c>
      <c r="B6" s="17">
        <f>YEAR(B4)</f>
        <v>2023</v>
      </c>
      <c r="C6" s="17">
        <f t="shared" ref="C6:BN6" si="2">YEAR(C4)</f>
        <v>2023</v>
      </c>
      <c r="D6" s="17">
        <f t="shared" si="2"/>
        <v>2023</v>
      </c>
      <c r="E6" s="17">
        <f t="shared" si="2"/>
        <v>2023</v>
      </c>
      <c r="F6" s="17">
        <f t="shared" si="2"/>
        <v>2023</v>
      </c>
      <c r="G6" s="17">
        <f t="shared" si="2"/>
        <v>2023</v>
      </c>
      <c r="H6" s="17">
        <f t="shared" si="2"/>
        <v>2023</v>
      </c>
      <c r="I6" s="17">
        <f t="shared" si="2"/>
        <v>2023</v>
      </c>
      <c r="J6" s="17">
        <f t="shared" si="2"/>
        <v>2023</v>
      </c>
      <c r="K6" s="17">
        <f t="shared" si="2"/>
        <v>2023</v>
      </c>
      <c r="L6" s="17">
        <f t="shared" si="2"/>
        <v>2023</v>
      </c>
      <c r="M6" s="17">
        <f t="shared" si="2"/>
        <v>2023</v>
      </c>
      <c r="N6" s="17">
        <f t="shared" si="2"/>
        <v>2024</v>
      </c>
      <c r="O6" s="17">
        <f t="shared" si="2"/>
        <v>2024</v>
      </c>
      <c r="P6" s="17">
        <f t="shared" si="2"/>
        <v>2024</v>
      </c>
      <c r="Q6" s="17">
        <f t="shared" si="2"/>
        <v>2024</v>
      </c>
      <c r="R6" s="17">
        <f t="shared" si="2"/>
        <v>2024</v>
      </c>
      <c r="S6" s="17">
        <f t="shared" si="2"/>
        <v>2024</v>
      </c>
      <c r="T6" s="17">
        <f t="shared" si="2"/>
        <v>2024</v>
      </c>
      <c r="U6" s="17">
        <f t="shared" si="2"/>
        <v>2024</v>
      </c>
      <c r="V6" s="17">
        <f t="shared" si="2"/>
        <v>2024</v>
      </c>
      <c r="W6" s="17">
        <f t="shared" si="2"/>
        <v>2024</v>
      </c>
      <c r="X6" s="17">
        <f t="shared" si="2"/>
        <v>2024</v>
      </c>
      <c r="Y6" s="17">
        <f t="shared" si="2"/>
        <v>2024</v>
      </c>
      <c r="Z6" s="17">
        <f t="shared" si="2"/>
        <v>2025</v>
      </c>
      <c r="AA6" s="17">
        <f t="shared" si="2"/>
        <v>2025</v>
      </c>
      <c r="AB6" s="17">
        <f t="shared" si="2"/>
        <v>2025</v>
      </c>
      <c r="AC6" s="17">
        <f t="shared" si="2"/>
        <v>2025</v>
      </c>
      <c r="AD6" s="17">
        <f t="shared" si="2"/>
        <v>2025</v>
      </c>
      <c r="AE6" s="17">
        <f t="shared" si="2"/>
        <v>2025</v>
      </c>
      <c r="AF6" s="17">
        <f t="shared" si="2"/>
        <v>2025</v>
      </c>
      <c r="AG6" s="17">
        <f t="shared" si="2"/>
        <v>2025</v>
      </c>
      <c r="AH6" s="17">
        <f t="shared" si="2"/>
        <v>2025</v>
      </c>
      <c r="AI6" s="17">
        <f t="shared" si="2"/>
        <v>2025</v>
      </c>
      <c r="AJ6" s="17">
        <f t="shared" si="2"/>
        <v>2025</v>
      </c>
      <c r="AK6" s="17">
        <f t="shared" si="2"/>
        <v>2025</v>
      </c>
      <c r="AL6" s="17">
        <f t="shared" si="2"/>
        <v>2026</v>
      </c>
      <c r="AM6" s="17">
        <f t="shared" si="2"/>
        <v>2026</v>
      </c>
      <c r="AN6" s="17">
        <f t="shared" si="2"/>
        <v>2026</v>
      </c>
      <c r="AO6" s="17">
        <f t="shared" si="2"/>
        <v>2026</v>
      </c>
      <c r="AP6" s="17">
        <f t="shared" si="2"/>
        <v>2026</v>
      </c>
      <c r="AQ6" s="18">
        <f t="shared" si="2"/>
        <v>2026</v>
      </c>
      <c r="AR6" s="17">
        <f t="shared" si="2"/>
        <v>2026</v>
      </c>
      <c r="AS6" s="17">
        <f t="shared" si="2"/>
        <v>2026</v>
      </c>
      <c r="AT6" s="17">
        <f t="shared" si="2"/>
        <v>2026</v>
      </c>
      <c r="AU6" s="17">
        <f t="shared" si="2"/>
        <v>2026</v>
      </c>
      <c r="AV6" s="17">
        <f t="shared" si="2"/>
        <v>2026</v>
      </c>
      <c r="AW6" s="17">
        <f t="shared" si="2"/>
        <v>2026</v>
      </c>
      <c r="AX6" s="17">
        <f t="shared" si="2"/>
        <v>2027</v>
      </c>
      <c r="AY6" s="17">
        <f t="shared" si="2"/>
        <v>2027</v>
      </c>
      <c r="AZ6" s="17">
        <f t="shared" si="2"/>
        <v>2027</v>
      </c>
      <c r="BA6" s="17">
        <f t="shared" si="2"/>
        <v>2027</v>
      </c>
      <c r="BB6" s="17">
        <f t="shared" si="2"/>
        <v>2027</v>
      </c>
      <c r="BC6" s="17">
        <f t="shared" si="2"/>
        <v>2027</v>
      </c>
      <c r="BD6" s="17">
        <f t="shared" si="2"/>
        <v>2027</v>
      </c>
      <c r="BE6" s="17">
        <f t="shared" si="2"/>
        <v>2027</v>
      </c>
      <c r="BF6" s="17">
        <f t="shared" si="2"/>
        <v>2027</v>
      </c>
      <c r="BG6" s="17">
        <f t="shared" si="2"/>
        <v>2027</v>
      </c>
      <c r="BH6" s="17">
        <f t="shared" si="2"/>
        <v>2027</v>
      </c>
      <c r="BI6" s="17">
        <f t="shared" si="2"/>
        <v>2027</v>
      </c>
      <c r="BJ6" s="17">
        <f t="shared" si="2"/>
        <v>2028</v>
      </c>
      <c r="BK6" s="17">
        <f t="shared" si="2"/>
        <v>2028</v>
      </c>
      <c r="BL6" s="17">
        <f t="shared" si="2"/>
        <v>2028</v>
      </c>
      <c r="BM6" s="17">
        <f t="shared" si="2"/>
        <v>2028</v>
      </c>
      <c r="BN6" s="17">
        <f t="shared" si="2"/>
        <v>2028</v>
      </c>
      <c r="BO6" s="17">
        <f t="shared" ref="BO6:CG6" si="3">YEAR(BO4)</f>
        <v>2028</v>
      </c>
      <c r="BP6" s="17">
        <f t="shared" si="3"/>
        <v>2028</v>
      </c>
      <c r="BQ6" s="17">
        <f t="shared" si="3"/>
        <v>2028</v>
      </c>
      <c r="BR6" s="17">
        <f t="shared" si="3"/>
        <v>2028</v>
      </c>
      <c r="BS6" s="17">
        <f t="shared" si="3"/>
        <v>2028</v>
      </c>
      <c r="BT6" s="17">
        <f t="shared" si="3"/>
        <v>2028</v>
      </c>
      <c r="BU6" s="17">
        <f t="shared" si="3"/>
        <v>2028</v>
      </c>
      <c r="BV6" s="17">
        <f t="shared" si="3"/>
        <v>2029</v>
      </c>
      <c r="BW6" s="17">
        <f t="shared" si="3"/>
        <v>2029</v>
      </c>
      <c r="BX6" s="17">
        <f t="shared" si="3"/>
        <v>2029</v>
      </c>
      <c r="BY6" s="17">
        <f t="shared" si="3"/>
        <v>2029</v>
      </c>
      <c r="BZ6" s="17">
        <f t="shared" si="3"/>
        <v>2029</v>
      </c>
      <c r="CA6" s="17">
        <f t="shared" si="3"/>
        <v>2029</v>
      </c>
      <c r="CB6" s="17">
        <f t="shared" si="3"/>
        <v>2029</v>
      </c>
      <c r="CC6" s="17">
        <f t="shared" si="3"/>
        <v>2029</v>
      </c>
      <c r="CD6" s="17">
        <f t="shared" si="3"/>
        <v>2029</v>
      </c>
      <c r="CE6" s="17">
        <f t="shared" si="3"/>
        <v>2029</v>
      </c>
      <c r="CF6" s="17">
        <f t="shared" si="3"/>
        <v>2029</v>
      </c>
      <c r="CG6" s="17">
        <f t="shared" si="3"/>
        <v>2029</v>
      </c>
    </row>
    <row r="7" spans="1:85" s="6" customFormat="1" ht="15" thickBot="1" x14ac:dyDescent="0.35">
      <c r="A7" s="20" t="s">
        <v>23</v>
      </c>
      <c r="B7" s="21" t="str">
        <f>"Q"&amp;ROUNDUP(MONTH(B4)/3,0)</f>
        <v>Q1</v>
      </c>
      <c r="C7" s="21" t="str">
        <f t="shared" ref="C7:BN7" si="4">"Q"&amp;ROUNDUP(MONTH(C4)/3,0)</f>
        <v>Q1</v>
      </c>
      <c r="D7" s="21" t="str">
        <f t="shared" si="4"/>
        <v>Q1</v>
      </c>
      <c r="E7" s="21" t="str">
        <f t="shared" si="4"/>
        <v>Q2</v>
      </c>
      <c r="F7" s="21" t="str">
        <f t="shared" si="4"/>
        <v>Q2</v>
      </c>
      <c r="G7" s="21" t="str">
        <f t="shared" si="4"/>
        <v>Q2</v>
      </c>
      <c r="H7" s="21" t="str">
        <f t="shared" si="4"/>
        <v>Q3</v>
      </c>
      <c r="I7" s="21" t="str">
        <f t="shared" si="4"/>
        <v>Q3</v>
      </c>
      <c r="J7" s="21" t="str">
        <f t="shared" si="4"/>
        <v>Q3</v>
      </c>
      <c r="K7" s="21" t="str">
        <f t="shared" si="4"/>
        <v>Q4</v>
      </c>
      <c r="L7" s="21" t="str">
        <f t="shared" si="4"/>
        <v>Q4</v>
      </c>
      <c r="M7" s="21" t="str">
        <f t="shared" si="4"/>
        <v>Q4</v>
      </c>
      <c r="N7" s="21" t="str">
        <f t="shared" si="4"/>
        <v>Q1</v>
      </c>
      <c r="O7" s="21" t="str">
        <f t="shared" si="4"/>
        <v>Q1</v>
      </c>
      <c r="P7" s="21" t="str">
        <f t="shared" si="4"/>
        <v>Q1</v>
      </c>
      <c r="Q7" s="21" t="str">
        <f t="shared" si="4"/>
        <v>Q2</v>
      </c>
      <c r="R7" s="21" t="str">
        <f t="shared" si="4"/>
        <v>Q2</v>
      </c>
      <c r="S7" s="21" t="str">
        <f t="shared" si="4"/>
        <v>Q2</v>
      </c>
      <c r="T7" s="21" t="str">
        <f t="shared" si="4"/>
        <v>Q3</v>
      </c>
      <c r="U7" s="21" t="str">
        <f t="shared" si="4"/>
        <v>Q3</v>
      </c>
      <c r="V7" s="21" t="str">
        <f t="shared" si="4"/>
        <v>Q3</v>
      </c>
      <c r="W7" s="21" t="str">
        <f t="shared" si="4"/>
        <v>Q4</v>
      </c>
      <c r="X7" s="21" t="str">
        <f t="shared" si="4"/>
        <v>Q4</v>
      </c>
      <c r="Y7" s="21" t="str">
        <f t="shared" si="4"/>
        <v>Q4</v>
      </c>
      <c r="Z7" s="21" t="str">
        <f t="shared" si="4"/>
        <v>Q1</v>
      </c>
      <c r="AA7" s="21" t="str">
        <f t="shared" si="4"/>
        <v>Q1</v>
      </c>
      <c r="AB7" s="21" t="str">
        <f t="shared" si="4"/>
        <v>Q1</v>
      </c>
      <c r="AC7" s="21" t="str">
        <f t="shared" si="4"/>
        <v>Q2</v>
      </c>
      <c r="AD7" s="21" t="str">
        <f t="shared" si="4"/>
        <v>Q2</v>
      </c>
      <c r="AE7" s="21" t="str">
        <f t="shared" si="4"/>
        <v>Q2</v>
      </c>
      <c r="AF7" s="21" t="str">
        <f t="shared" si="4"/>
        <v>Q3</v>
      </c>
      <c r="AG7" s="21" t="str">
        <f t="shared" si="4"/>
        <v>Q3</v>
      </c>
      <c r="AH7" s="21" t="str">
        <f t="shared" si="4"/>
        <v>Q3</v>
      </c>
      <c r="AI7" s="21" t="str">
        <f t="shared" si="4"/>
        <v>Q4</v>
      </c>
      <c r="AJ7" s="21" t="str">
        <f t="shared" si="4"/>
        <v>Q4</v>
      </c>
      <c r="AK7" s="21" t="str">
        <f t="shared" si="4"/>
        <v>Q4</v>
      </c>
      <c r="AL7" s="21" t="str">
        <f t="shared" si="4"/>
        <v>Q1</v>
      </c>
      <c r="AM7" s="21" t="str">
        <f t="shared" si="4"/>
        <v>Q1</v>
      </c>
      <c r="AN7" s="21" t="str">
        <f t="shared" si="4"/>
        <v>Q1</v>
      </c>
      <c r="AO7" s="21" t="str">
        <f t="shared" si="4"/>
        <v>Q2</v>
      </c>
      <c r="AP7" s="21" t="str">
        <f t="shared" si="4"/>
        <v>Q2</v>
      </c>
      <c r="AQ7" s="22" t="str">
        <f t="shared" si="4"/>
        <v>Q2</v>
      </c>
      <c r="AR7" s="21" t="str">
        <f t="shared" si="4"/>
        <v>Q3</v>
      </c>
      <c r="AS7" s="21" t="str">
        <f t="shared" si="4"/>
        <v>Q3</v>
      </c>
      <c r="AT7" s="21" t="str">
        <f t="shared" si="4"/>
        <v>Q3</v>
      </c>
      <c r="AU7" s="21" t="str">
        <f t="shared" si="4"/>
        <v>Q4</v>
      </c>
      <c r="AV7" s="21" t="str">
        <f t="shared" si="4"/>
        <v>Q4</v>
      </c>
      <c r="AW7" s="21" t="str">
        <f t="shared" si="4"/>
        <v>Q4</v>
      </c>
      <c r="AX7" s="21" t="str">
        <f t="shared" si="4"/>
        <v>Q1</v>
      </c>
      <c r="AY7" s="21" t="str">
        <f t="shared" si="4"/>
        <v>Q1</v>
      </c>
      <c r="AZ7" s="21" t="str">
        <f t="shared" si="4"/>
        <v>Q1</v>
      </c>
      <c r="BA7" s="21" t="str">
        <f t="shared" si="4"/>
        <v>Q2</v>
      </c>
      <c r="BB7" s="21" t="str">
        <f t="shared" si="4"/>
        <v>Q2</v>
      </c>
      <c r="BC7" s="21" t="str">
        <f t="shared" si="4"/>
        <v>Q2</v>
      </c>
      <c r="BD7" s="21" t="str">
        <f t="shared" si="4"/>
        <v>Q3</v>
      </c>
      <c r="BE7" s="21" t="str">
        <f t="shared" si="4"/>
        <v>Q3</v>
      </c>
      <c r="BF7" s="21" t="str">
        <f t="shared" si="4"/>
        <v>Q3</v>
      </c>
      <c r="BG7" s="21" t="str">
        <f t="shared" si="4"/>
        <v>Q4</v>
      </c>
      <c r="BH7" s="21" t="str">
        <f t="shared" si="4"/>
        <v>Q4</v>
      </c>
      <c r="BI7" s="21" t="str">
        <f t="shared" si="4"/>
        <v>Q4</v>
      </c>
      <c r="BJ7" s="21" t="str">
        <f t="shared" si="4"/>
        <v>Q1</v>
      </c>
      <c r="BK7" s="21" t="str">
        <f t="shared" si="4"/>
        <v>Q1</v>
      </c>
      <c r="BL7" s="21" t="str">
        <f t="shared" si="4"/>
        <v>Q1</v>
      </c>
      <c r="BM7" s="21" t="str">
        <f t="shared" si="4"/>
        <v>Q2</v>
      </c>
      <c r="BN7" s="21" t="str">
        <f t="shared" si="4"/>
        <v>Q2</v>
      </c>
      <c r="BO7" s="21" t="str">
        <f t="shared" ref="BO7:CG7" si="5">"Q"&amp;ROUNDUP(MONTH(BO4)/3,0)</f>
        <v>Q2</v>
      </c>
      <c r="BP7" s="21" t="str">
        <f t="shared" si="5"/>
        <v>Q3</v>
      </c>
      <c r="BQ7" s="21" t="str">
        <f t="shared" si="5"/>
        <v>Q3</v>
      </c>
      <c r="BR7" s="21" t="str">
        <f t="shared" si="5"/>
        <v>Q3</v>
      </c>
      <c r="BS7" s="21" t="str">
        <f t="shared" si="5"/>
        <v>Q4</v>
      </c>
      <c r="BT7" s="21" t="str">
        <f t="shared" si="5"/>
        <v>Q4</v>
      </c>
      <c r="BU7" s="21" t="str">
        <f t="shared" si="5"/>
        <v>Q4</v>
      </c>
      <c r="BV7" s="21" t="str">
        <f t="shared" si="5"/>
        <v>Q1</v>
      </c>
      <c r="BW7" s="21" t="str">
        <f t="shared" si="5"/>
        <v>Q1</v>
      </c>
      <c r="BX7" s="21" t="str">
        <f t="shared" si="5"/>
        <v>Q1</v>
      </c>
      <c r="BY7" s="21" t="str">
        <f t="shared" si="5"/>
        <v>Q2</v>
      </c>
      <c r="BZ7" s="21" t="str">
        <f t="shared" si="5"/>
        <v>Q2</v>
      </c>
      <c r="CA7" s="21" t="str">
        <f t="shared" si="5"/>
        <v>Q2</v>
      </c>
      <c r="CB7" s="21" t="str">
        <f t="shared" si="5"/>
        <v>Q3</v>
      </c>
      <c r="CC7" s="21" t="str">
        <f t="shared" si="5"/>
        <v>Q3</v>
      </c>
      <c r="CD7" s="21" t="str">
        <f t="shared" si="5"/>
        <v>Q3</v>
      </c>
      <c r="CE7" s="21" t="str">
        <f t="shared" si="5"/>
        <v>Q4</v>
      </c>
      <c r="CF7" s="21" t="str">
        <f t="shared" si="5"/>
        <v>Q4</v>
      </c>
      <c r="CG7" s="21" t="str">
        <f t="shared" si="5"/>
        <v>Q4</v>
      </c>
    </row>
    <row r="8" spans="1:85" x14ac:dyDescent="0.3">
      <c r="A8" s="96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182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</row>
    <row r="9" spans="1:85" x14ac:dyDescent="0.3">
      <c r="A9" s="23" t="s">
        <v>27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5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</row>
    <row r="10" spans="1:85" x14ac:dyDescent="0.3">
      <c r="A10" s="26" t="s">
        <v>28</v>
      </c>
      <c r="B10" s="27">
        <f>IF(B$5="Actual",SUMIFS(tbl_model_feed_final[recognised_revenue_actual_gbp],tbl_model_feed_final[reporting_month_date],B$4)/'02_Control'!$B$18,"")</f>
        <v>1466626.4300000002</v>
      </c>
      <c r="C10" s="27">
        <f>IF(C$5="Actual",SUMIFS(tbl_model_feed_final[recognised_revenue_actual_gbp],tbl_model_feed_final[reporting_month_date],C$4)/'02_Control'!$B$18,"")</f>
        <v>1641714.9400000002</v>
      </c>
      <c r="D10" s="27">
        <f>IF(D$5="Actual",SUMIFS(tbl_model_feed_final[recognised_revenue_actual_gbp],tbl_model_feed_final[reporting_month_date],D$4)/'02_Control'!$B$18,"")</f>
        <v>1917718.6300000008</v>
      </c>
      <c r="E10" s="27">
        <f>IF(E$5="Actual",SUMIFS(tbl_model_feed_final[recognised_revenue_actual_gbp],tbl_model_feed_final[reporting_month_date],E$4)/'02_Control'!$B$18,"")</f>
        <v>2122884.7000000039</v>
      </c>
      <c r="F10" s="27">
        <f>IF(F$5="Actual",SUMIFS(tbl_model_feed_final[recognised_revenue_actual_gbp],tbl_model_feed_final[reporting_month_date],F$4)/'02_Control'!$B$18,"")</f>
        <v>2373770.9699999997</v>
      </c>
      <c r="G10" s="27">
        <f>IF(G$5="Actual",SUMIFS(tbl_model_feed_final[recognised_revenue_actual_gbp],tbl_model_feed_final[reporting_month_date],G$4)/'02_Control'!$B$18,"")</f>
        <v>2624063.5199999996</v>
      </c>
      <c r="H10" s="27">
        <f>IF(H$5="Actual",SUMIFS(tbl_model_feed_final[recognised_revenue_actual_gbp],tbl_model_feed_final[reporting_month_date],H$4)/'02_Control'!$B$18,"")</f>
        <v>2899362.7599999974</v>
      </c>
      <c r="I10" s="27">
        <f>IF(I$5="Actual",SUMIFS(tbl_model_feed_final[recognised_revenue_actual_gbp],tbl_model_feed_final[reporting_month_date],I$4)/'02_Control'!$B$18,"")</f>
        <v>3163202.6</v>
      </c>
      <c r="J10" s="27">
        <f>IF(J$5="Actual",SUMIFS(tbl_model_feed_final[recognised_revenue_actual_gbp],tbl_model_feed_final[reporting_month_date],J$4)/'02_Control'!$B$18,"")</f>
        <v>3373435.1099999947</v>
      </c>
      <c r="K10" s="27">
        <f>IF(K$5="Actual",SUMIFS(tbl_model_feed_final[recognised_revenue_actual_gbp],tbl_model_feed_final[reporting_month_date],K$4)/'02_Control'!$B$18,"")</f>
        <v>3639853.0300000003</v>
      </c>
      <c r="L10" s="27">
        <f>IF(L$5="Actual",SUMIFS(tbl_model_feed_final[recognised_revenue_actual_gbp],tbl_model_feed_final[reporting_month_date],L$4)/'02_Control'!$B$18,"")</f>
        <v>3770045.77999999</v>
      </c>
      <c r="M10" s="27">
        <f>IF(M$5="Actual",SUMIFS(tbl_model_feed_final[recognised_revenue_actual_gbp],tbl_model_feed_final[reporting_month_date],M$4)/'02_Control'!$B$18,"")</f>
        <v>4105386.3800000087</v>
      </c>
      <c r="N10" s="27">
        <f>IF(N$5="Actual",SUMIFS(tbl_model_feed_final[recognised_revenue_actual_gbp],tbl_model_feed_final[reporting_month_date],N$4)/'02_Control'!$B$18,"")</f>
        <v>4195116.2700000117</v>
      </c>
      <c r="O10" s="27">
        <f>IF(O$5="Actual",SUMIFS(tbl_model_feed_final[recognised_revenue_actual_gbp],tbl_model_feed_final[reporting_month_date],O$4)/'02_Control'!$B$18,"")</f>
        <v>4105371.5100000212</v>
      </c>
      <c r="P10" s="27">
        <f>IF(P$5="Actual",SUMIFS(tbl_model_feed_final[recognised_revenue_actual_gbp],tbl_model_feed_final[reporting_month_date],P$4)/'02_Control'!$B$18,"")</f>
        <v>4370856.2800000096</v>
      </c>
      <c r="Q10" s="27">
        <f>IF(Q$5="Actual",SUMIFS(tbl_model_feed_final[recognised_revenue_actual_gbp],tbl_model_feed_final[reporting_month_date],Q$4)/'02_Control'!$B$18,"")</f>
        <v>4353796.8699999852</v>
      </c>
      <c r="R10" s="27">
        <f>IF(R$5="Actual",SUMIFS(tbl_model_feed_final[recognised_revenue_actual_gbp],tbl_model_feed_final[reporting_month_date],R$4)/'02_Control'!$B$18,"")</f>
        <v>4577648.7699999912</v>
      </c>
      <c r="S10" s="27">
        <f>IF(S$5="Actual",SUMIFS(tbl_model_feed_final[recognised_revenue_actual_gbp],tbl_model_feed_final[reporting_month_date],S$4)/'02_Control'!$B$18,"")</f>
        <v>4545473.449999989</v>
      </c>
      <c r="T10" s="27">
        <f>IF(T$5="Actual",SUMIFS(tbl_model_feed_final[recognised_revenue_actual_gbp],tbl_model_feed_final[reporting_month_date],T$4)/'02_Control'!$B$18,"")</f>
        <v>4719176.0399999805</v>
      </c>
      <c r="U10" s="27">
        <f>IF(U$5="Actual",SUMIFS(tbl_model_feed_final[recognised_revenue_actual_gbp],tbl_model_feed_final[reporting_month_date],U$4)/'02_Control'!$B$18,"")</f>
        <v>4843681.579999974</v>
      </c>
      <c r="V10" s="27">
        <f>IF(V$5="Actual",SUMIFS(tbl_model_feed_final[recognised_revenue_actual_gbp],tbl_model_feed_final[reporting_month_date],V$4)/'02_Control'!$B$18,"")</f>
        <v>4818006.6699999897</v>
      </c>
      <c r="W10" s="27">
        <f>IF(W$5="Actual",SUMIFS(tbl_model_feed_final[recognised_revenue_actual_gbp],tbl_model_feed_final[reporting_month_date],W$4)/'02_Control'!$B$18,"")</f>
        <v>5019155.3099999772</v>
      </c>
      <c r="X10" s="27">
        <f>IF(X$5="Actual",SUMIFS(tbl_model_feed_final[recognised_revenue_actual_gbp],tbl_model_feed_final[reporting_month_date],X$4)/'02_Control'!$B$18,"")</f>
        <v>4987826.0699999928</v>
      </c>
      <c r="Y10" s="27">
        <f>IF(Y$5="Actual",SUMIFS(tbl_model_feed_final[recognised_revenue_actual_gbp],tbl_model_feed_final[reporting_month_date],Y$4)/'02_Control'!$B$18,"")</f>
        <v>5167534.5799999647</v>
      </c>
      <c r="Z10" s="27">
        <f>IF(Z$5="Actual",SUMIFS(tbl_model_feed_final[recognised_revenue_actual_gbp],tbl_model_feed_final[reporting_month_date],Z$4)/'02_Control'!$B$18,"")</f>
        <v>5270030.4499999573</v>
      </c>
      <c r="AA10" s="27">
        <f>IF(AA$5="Actual",SUMIFS(tbl_model_feed_final[recognised_revenue_actual_gbp],tbl_model_feed_final[reporting_month_date],AA$4)/'02_Control'!$B$18,"")</f>
        <v>4998158.4700000007</v>
      </c>
      <c r="AB10" s="27">
        <f>IF(AB$5="Actual",SUMIFS(tbl_model_feed_final[recognised_revenue_actual_gbp],tbl_model_feed_final[reporting_month_date],AB$4)/'02_Control'!$B$18,"")</f>
        <v>5374879.3999999668</v>
      </c>
      <c r="AC10" s="27">
        <f>IF(AC$5="Actual",SUMIFS(tbl_model_feed_final[recognised_revenue_actual_gbp],tbl_model_feed_final[reporting_month_date],AC$4)/'02_Control'!$B$18,"")</f>
        <v>5324091.8899999876</v>
      </c>
      <c r="AD10" s="27">
        <f>IF(AD$5="Actual",SUMIFS(tbl_model_feed_final[recognised_revenue_actual_gbp],tbl_model_feed_final[reporting_month_date],AD$4)/'02_Control'!$B$18,"")</f>
        <v>5505787.4599999702</v>
      </c>
      <c r="AE10" s="27">
        <f>IF(AE$5="Actual",SUMIFS(tbl_model_feed_final[recognised_revenue_actual_gbp],tbl_model_feed_final[reporting_month_date],AE$4)/'02_Control'!$B$18,"")</f>
        <v>5414072.1999999993</v>
      </c>
      <c r="AF10" s="27">
        <f>IF(AF$5="Actual",SUMIFS(tbl_model_feed_final[recognised_revenue_actual_gbp],tbl_model_feed_final[reporting_month_date],AF$4)/'02_Control'!$B$18,"")</f>
        <v>5624021.3499999819</v>
      </c>
      <c r="AG10" s="27">
        <f>IF(AG$5="Actual",SUMIFS(tbl_model_feed_final[recognised_revenue_actual_gbp],tbl_model_feed_final[reporting_month_date],AG$4)/'02_Control'!$B$18,"")</f>
        <v>5701269.7399999676</v>
      </c>
      <c r="AH10" s="27">
        <f>IF(AH$5="Actual",SUMIFS(tbl_model_feed_final[recognised_revenue_actual_gbp],tbl_model_feed_final[reporting_month_date],AH$4)/'02_Control'!$B$18,"")</f>
        <v>5621695.6499999883</v>
      </c>
      <c r="AI10" s="27">
        <f>IF(AI$5="Actual",SUMIFS(tbl_model_feed_final[recognised_revenue_actual_gbp],tbl_model_feed_final[reporting_month_date],AI$4)/'02_Control'!$B$18,"")</f>
        <v>5786294.9199999571</v>
      </c>
      <c r="AJ10" s="27">
        <f>IF(AJ$5="Actual",SUMIFS(tbl_model_feed_final[recognised_revenue_actual_gbp],tbl_model_feed_final[reporting_month_date],AJ$4)/'02_Control'!$B$18,"")</f>
        <v>5698179.3499999875</v>
      </c>
      <c r="AK10" s="27">
        <f>IF(AK$5="Actual",SUMIFS(tbl_model_feed_final[recognised_revenue_actual_gbp],tbl_model_feed_final[reporting_month_date],AK$4)/'02_Control'!$B$18,"")</f>
        <v>5868767.4199999534</v>
      </c>
      <c r="AL10" s="27">
        <f>IF(AL$5="Actual",SUMIFS(tbl_model_feed_final[recognised_revenue_actual_gbp],tbl_model_feed_final[reporting_month_date],AL$4)/'02_Control'!$B$18,"")</f>
        <v>5927913.1099999566</v>
      </c>
      <c r="AM10" s="27">
        <f>IF(AM$5="Actual",SUMIFS(tbl_model_feed_final[recognised_revenue_actual_gbp],tbl_model_feed_final[reporting_month_date],AM$4)/'02_Control'!$B$18,"")</f>
        <v>5523680.0099999597</v>
      </c>
      <c r="AN10" s="27">
        <f>IF(AN$5="Actual",SUMIFS(tbl_model_feed_final[recognised_revenue_actual_gbp],tbl_model_feed_final[reporting_month_date],AN$4)/'02_Control'!$B$18,"")</f>
        <v>5894525.5099999579</v>
      </c>
      <c r="AO10" s="27">
        <f>IF(AO$5="Actual",SUMIFS(tbl_model_feed_final[recognised_revenue_actual_gbp],tbl_model_feed_final[reporting_month_date],AO$4)/'02_Control'!$B$18,"")</f>
        <v>5770015.6699999878</v>
      </c>
      <c r="AP10" s="27">
        <f>IF(AP$5="Actual",SUMIFS(tbl_model_feed_final[recognised_revenue_actual_gbp],tbl_model_feed_final[reporting_month_date],AP$4)/'02_Control'!$B$18,"")</f>
        <v>5892617.2199999485</v>
      </c>
      <c r="AQ10" s="28">
        <f>IF(AQ$5="Actual",SUMIFS(tbl_model_feed_final[recognised_revenue_actual_gbp],tbl_model_feed_final[reporting_month_date],AQ$4)/'02_Control'!$B$18,"")</f>
        <v>5797387.8599999938</v>
      </c>
      <c r="AR10" s="27">
        <f>IF(AR$5="Actual",SUMIFS(tbl_model_feed_final[recognised_revenue_actual_gbp],tbl_model_feed_final[reporting_month_date],AR$4)/'02_Control'!$B$18,AQ10*(1+_xlfn.XLOOKUP("Recognised Revenue Growth %",tbl_assumptions[Driver],tbl_assumptions[Selected Scenario])))</f>
        <v>5855361.7385999942</v>
      </c>
      <c r="AS10" s="27">
        <f>IF(AS$5="Actual",SUMIFS(tbl_model_feed_final[recognised_revenue_actual_gbp],tbl_model_feed_final[reporting_month_date],AS$4)/'02_Control'!$B$18,AR10*(1+_xlfn.XLOOKUP("Recognised Revenue Growth %",tbl_assumptions[Driver],tbl_assumptions[Selected Scenario])))</f>
        <v>5913915.3559859945</v>
      </c>
      <c r="AT10" s="27">
        <f>IF(AT$5="Actual",SUMIFS(tbl_model_feed_final[recognised_revenue_actual_gbp],tbl_model_feed_final[reporting_month_date],AT$4)/'02_Control'!$B$18,AS10*(1+_xlfn.XLOOKUP("Recognised Revenue Growth %",tbl_assumptions[Driver],tbl_assumptions[Selected Scenario])))</f>
        <v>5973054.5095458543</v>
      </c>
      <c r="AU10" s="27">
        <f>IF(AU$5="Actual",SUMIFS(tbl_model_feed_final[recognised_revenue_actual_gbp],tbl_model_feed_final[reporting_month_date],AU$4)/'02_Control'!$B$18,AT10*(1+_xlfn.XLOOKUP("Recognised Revenue Growth %",tbl_assumptions[Driver],tbl_assumptions[Selected Scenario])))</f>
        <v>6032785.0546413129</v>
      </c>
      <c r="AV10" s="27">
        <f>IF(AV$5="Actual",SUMIFS(tbl_model_feed_final[recognised_revenue_actual_gbp],tbl_model_feed_final[reporting_month_date],AV$4)/'02_Control'!$B$18,AU10*(1+_xlfn.XLOOKUP("Recognised Revenue Growth %",tbl_assumptions[Driver],tbl_assumptions[Selected Scenario])))</f>
        <v>6093112.905187726</v>
      </c>
      <c r="AW10" s="27">
        <f>IF(AW$5="Actual",SUMIFS(tbl_model_feed_final[recognised_revenue_actual_gbp],tbl_model_feed_final[reporting_month_date],AW$4)/'02_Control'!$B$18,AV10*(1+_xlfn.XLOOKUP("Recognised Revenue Growth %",tbl_assumptions[Driver],tbl_assumptions[Selected Scenario])))</f>
        <v>6154044.0342396032</v>
      </c>
      <c r="AX10" s="27">
        <f>IF(AX$5="Actual",SUMIFS(tbl_model_feed_final[recognised_revenue_actual_gbp],tbl_model_feed_final[reporting_month_date],AX$4)/'02_Control'!$B$18,AW10*(1+_xlfn.XLOOKUP("Recognised Revenue Growth %",tbl_assumptions[Driver],tbl_assumptions[Selected Scenario])))</f>
        <v>6215584.4745819997</v>
      </c>
      <c r="AY10" s="27">
        <f>IF(AY$5="Actual",SUMIFS(tbl_model_feed_final[recognised_revenue_actual_gbp],tbl_model_feed_final[reporting_month_date],AY$4)/'02_Control'!$B$18,AX10*(1+_xlfn.XLOOKUP("Recognised Revenue Growth %",tbl_assumptions[Driver],tbl_assumptions[Selected Scenario])))</f>
        <v>6277740.3193278201</v>
      </c>
      <c r="AZ10" s="27">
        <f>IF(AZ$5="Actual",SUMIFS(tbl_model_feed_final[recognised_revenue_actual_gbp],tbl_model_feed_final[reporting_month_date],AZ$4)/'02_Control'!$B$18,AY10*(1+_xlfn.XLOOKUP("Recognised Revenue Growth %",tbl_assumptions[Driver],tbl_assumptions[Selected Scenario])))</f>
        <v>6340517.7225210983</v>
      </c>
      <c r="BA10" s="27">
        <f>IF(BA$5="Actual",SUMIFS(tbl_model_feed_final[recognised_revenue_actual_gbp],tbl_model_feed_final[reporting_month_date],BA$4)/'02_Control'!$B$18,AZ10*(1+_xlfn.XLOOKUP("Recognised Revenue Growth %",tbl_assumptions[Driver],tbl_assumptions[Selected Scenario])))</f>
        <v>6403922.899746309</v>
      </c>
      <c r="BB10" s="27">
        <f>IF(BB$5="Actual",SUMIFS(tbl_model_feed_final[recognised_revenue_actual_gbp],tbl_model_feed_final[reporting_month_date],BB$4)/'02_Control'!$B$18,BA10*(1+_xlfn.XLOOKUP("Recognised Revenue Growth %",tbl_assumptions[Driver],tbl_assumptions[Selected Scenario])))</f>
        <v>6467962.1287437724</v>
      </c>
      <c r="BC10" s="27">
        <f>IF(BC$5="Actual",SUMIFS(tbl_model_feed_final[recognised_revenue_actual_gbp],tbl_model_feed_final[reporting_month_date],BC$4)/'02_Control'!$B$18,BB10*(1+_xlfn.XLOOKUP("Recognised Revenue Growth %",tbl_assumptions[Driver],tbl_assumptions[Selected Scenario])))</f>
        <v>6532641.7500312105</v>
      </c>
      <c r="BD10" s="27">
        <f>IF(BD$5="Actual",SUMIFS(tbl_model_feed_final[recognised_revenue_actual_gbp],tbl_model_feed_final[reporting_month_date],BD$4)/'02_Control'!$B$18,BC10*(1+_xlfn.XLOOKUP("Recognised Revenue Growth %",tbl_assumptions[Driver],tbl_assumptions[Selected Scenario])))</f>
        <v>6597968.1675315229</v>
      </c>
      <c r="BE10" s="27">
        <f>IF(BE$5="Actual",SUMIFS(tbl_model_feed_final[recognised_revenue_actual_gbp],tbl_model_feed_final[reporting_month_date],BE$4)/'02_Control'!$B$18,BD10*(1+_xlfn.XLOOKUP("Recognised Revenue Growth %",tbl_assumptions[Driver],tbl_assumptions[Selected Scenario])))</f>
        <v>6663947.8492068378</v>
      </c>
      <c r="BF10" s="27">
        <f>IF(BF$5="Actual",SUMIFS(tbl_model_feed_final[recognised_revenue_actual_gbp],tbl_model_feed_final[reporting_month_date],BF$4)/'02_Control'!$B$18,BE10*(1+_xlfn.XLOOKUP("Recognised Revenue Growth %",tbl_assumptions[Driver],tbl_assumptions[Selected Scenario])))</f>
        <v>6730587.327698906</v>
      </c>
      <c r="BG10" s="27">
        <f>IF(BG$5="Actual",SUMIFS(tbl_model_feed_final[recognised_revenue_actual_gbp],tbl_model_feed_final[reporting_month_date],BG$4)/'02_Control'!$B$18,BF10*(1+_xlfn.XLOOKUP("Recognised Revenue Growth %",tbl_assumptions[Driver],tbl_assumptions[Selected Scenario])))</f>
        <v>6797893.2009758949</v>
      </c>
      <c r="BH10" s="27">
        <f>IF(BH$5="Actual",SUMIFS(tbl_model_feed_final[recognised_revenue_actual_gbp],tbl_model_feed_final[reporting_month_date],BH$4)/'02_Control'!$B$18,BG10*(1+_xlfn.XLOOKUP("Recognised Revenue Growth %",tbl_assumptions[Driver],tbl_assumptions[Selected Scenario])))</f>
        <v>6865872.1329856543</v>
      </c>
      <c r="BI10" s="27">
        <f>IF(BI$5="Actual",SUMIFS(tbl_model_feed_final[recognised_revenue_actual_gbp],tbl_model_feed_final[reporting_month_date],BI$4)/'02_Control'!$B$18,BH10*(1+_xlfn.XLOOKUP("Recognised Revenue Growth %",tbl_assumptions[Driver],tbl_assumptions[Selected Scenario])))</f>
        <v>6934530.854315511</v>
      </c>
      <c r="BJ10" s="27">
        <f>IF(BJ$5="Actual",SUMIFS(tbl_model_feed_final[recognised_revenue_actual_gbp],tbl_model_feed_final[reporting_month_date],BJ$4)/'02_Control'!$B$18,BI10*(1+_xlfn.XLOOKUP("Recognised Revenue Growth %",tbl_assumptions[Driver],tbl_assumptions[Selected Scenario])))</f>
        <v>7003876.1628586659</v>
      </c>
      <c r="BK10" s="27">
        <f>IF(BK$5="Actual",SUMIFS(tbl_model_feed_final[recognised_revenue_actual_gbp],tbl_model_feed_final[reporting_month_date],BK$4)/'02_Control'!$B$18,BJ10*(1+_xlfn.XLOOKUP("Recognised Revenue Growth %",tbl_assumptions[Driver],tbl_assumptions[Selected Scenario])))</f>
        <v>7073914.9244872527</v>
      </c>
      <c r="BL10" s="27">
        <f>IF(BL$5="Actual",SUMIFS(tbl_model_feed_final[recognised_revenue_actual_gbp],tbl_model_feed_final[reporting_month_date],BL$4)/'02_Control'!$B$18,BK10*(1+_xlfn.XLOOKUP("Recognised Revenue Growth %",tbl_assumptions[Driver],tbl_assumptions[Selected Scenario])))</f>
        <v>7144654.0737321256</v>
      </c>
      <c r="BM10" s="27">
        <f>IF(BM$5="Actual",SUMIFS(tbl_model_feed_final[recognised_revenue_actual_gbp],tbl_model_feed_final[reporting_month_date],BM$4)/'02_Control'!$B$18,BL10*(1+_xlfn.XLOOKUP("Recognised Revenue Growth %",tbl_assumptions[Driver],tbl_assumptions[Selected Scenario])))</f>
        <v>7216100.6144694472</v>
      </c>
      <c r="BN10" s="27">
        <f>IF(BN$5="Actual",SUMIFS(tbl_model_feed_final[recognised_revenue_actual_gbp],tbl_model_feed_final[reporting_month_date],BN$4)/'02_Control'!$B$18,BM10*(1+_xlfn.XLOOKUP("Recognised Revenue Growth %",tbl_assumptions[Driver],tbl_assumptions[Selected Scenario])))</f>
        <v>7288261.6206141422</v>
      </c>
      <c r="BO10" s="27">
        <f>IF(BO$5="Actual",SUMIFS(tbl_model_feed_final[recognised_revenue_actual_gbp],tbl_model_feed_final[reporting_month_date],BO$4)/'02_Control'!$B$18,BN10*(1+_xlfn.XLOOKUP("Recognised Revenue Growth %",tbl_assumptions[Driver],tbl_assumptions[Selected Scenario])))</f>
        <v>7361144.2368202833</v>
      </c>
      <c r="BP10" s="27">
        <f>IF(BP$5="Actual",SUMIFS(tbl_model_feed_final[recognised_revenue_actual_gbp],tbl_model_feed_final[reporting_month_date],BP$4)/'02_Control'!$B$18,BO10*(1+_xlfn.XLOOKUP("Recognised Revenue Growth %",tbl_assumptions[Driver],tbl_assumptions[Selected Scenario])))</f>
        <v>7434755.6791884862</v>
      </c>
      <c r="BQ10" s="27">
        <f>IF(BQ$5="Actual",SUMIFS(tbl_model_feed_final[recognised_revenue_actual_gbp],tbl_model_feed_final[reporting_month_date],BQ$4)/'02_Control'!$B$18,BP10*(1+_xlfn.XLOOKUP("Recognised Revenue Growth %",tbl_assumptions[Driver],tbl_assumptions[Selected Scenario])))</f>
        <v>7509103.235980371</v>
      </c>
      <c r="BR10" s="27">
        <f>IF(BR$5="Actual",SUMIFS(tbl_model_feed_final[recognised_revenue_actual_gbp],tbl_model_feed_final[reporting_month_date],BR$4)/'02_Control'!$B$18,BQ10*(1+_xlfn.XLOOKUP("Recognised Revenue Growth %",tbl_assumptions[Driver],tbl_assumptions[Selected Scenario])))</f>
        <v>7584194.268340175</v>
      </c>
      <c r="BS10" s="27">
        <f>IF(BS$5="Actual",SUMIFS(tbl_model_feed_final[recognised_revenue_actual_gbp],tbl_model_feed_final[reporting_month_date],BS$4)/'02_Control'!$B$18,BR10*(1+_xlfn.XLOOKUP("Recognised Revenue Growth %",tbl_assumptions[Driver],tbl_assumptions[Selected Scenario])))</f>
        <v>7660036.2110235766</v>
      </c>
      <c r="BT10" s="27">
        <f>IF(BT$5="Actual",SUMIFS(tbl_model_feed_final[recognised_revenue_actual_gbp],tbl_model_feed_final[reporting_month_date],BT$4)/'02_Control'!$B$18,BS10*(1+_xlfn.XLOOKUP("Recognised Revenue Growth %",tbl_assumptions[Driver],tbl_assumptions[Selected Scenario])))</f>
        <v>7736636.5731338123</v>
      </c>
      <c r="BU10" s="27">
        <f>IF(BU$5="Actual",SUMIFS(tbl_model_feed_final[recognised_revenue_actual_gbp],tbl_model_feed_final[reporting_month_date],BU$4)/'02_Control'!$B$18,BT10*(1+_xlfn.XLOOKUP("Recognised Revenue Growth %",tbl_assumptions[Driver],tbl_assumptions[Selected Scenario])))</f>
        <v>7814002.9388651503</v>
      </c>
      <c r="BV10" s="27">
        <f>IF(BV$5="Actual",SUMIFS(tbl_model_feed_final[recognised_revenue_actual_gbp],tbl_model_feed_final[reporting_month_date],BV$4)/'02_Control'!$B$18,BU10*(1+_xlfn.XLOOKUP("Recognised Revenue Growth %",tbl_assumptions[Driver],tbl_assumptions[Selected Scenario])))</f>
        <v>7892142.9682538016</v>
      </c>
      <c r="BW10" s="27">
        <f>IF(BW$5="Actual",SUMIFS(tbl_model_feed_final[recognised_revenue_actual_gbp],tbl_model_feed_final[reporting_month_date],BW$4)/'02_Control'!$B$18,BV10*(1+_xlfn.XLOOKUP("Recognised Revenue Growth %",tbl_assumptions[Driver],tbl_assumptions[Selected Scenario])))</f>
        <v>7971064.3979363395</v>
      </c>
      <c r="BX10" s="27">
        <f>IF(BX$5="Actual",SUMIFS(tbl_model_feed_final[recognised_revenue_actual_gbp],tbl_model_feed_final[reporting_month_date],BX$4)/'02_Control'!$B$18,BW10*(1+_xlfn.XLOOKUP("Recognised Revenue Growth %",tbl_assumptions[Driver],tbl_assumptions[Selected Scenario])))</f>
        <v>8050775.0419157026</v>
      </c>
      <c r="BY10" s="27">
        <f>IF(BY$5="Actual",SUMIFS(tbl_model_feed_final[recognised_revenue_actual_gbp],tbl_model_feed_final[reporting_month_date],BY$4)/'02_Control'!$B$18,BX10*(1+_xlfn.XLOOKUP("Recognised Revenue Growth %",tbl_assumptions[Driver],tbl_assumptions[Selected Scenario])))</f>
        <v>8131282.7923348602</v>
      </c>
      <c r="BZ10" s="27">
        <f>IF(BZ$5="Actual",SUMIFS(tbl_model_feed_final[recognised_revenue_actual_gbp],tbl_model_feed_final[reporting_month_date],BZ$4)/'02_Control'!$B$18,BY10*(1+_xlfn.XLOOKUP("Recognised Revenue Growth %",tbl_assumptions[Driver],tbl_assumptions[Selected Scenario])))</f>
        <v>8212595.6202582093</v>
      </c>
      <c r="CA10" s="27">
        <f>IF(CA$5="Actual",SUMIFS(tbl_model_feed_final[recognised_revenue_actual_gbp],tbl_model_feed_final[reporting_month_date],CA$4)/'02_Control'!$B$18,BZ10*(1+_xlfn.XLOOKUP("Recognised Revenue Growth %",tbl_assumptions[Driver],tbl_assumptions[Selected Scenario])))</f>
        <v>8294721.5764607918</v>
      </c>
      <c r="CB10" s="27">
        <f>IF(CB$5="Actual",SUMIFS(tbl_model_feed_final[recognised_revenue_actual_gbp],tbl_model_feed_final[reporting_month_date],CB$4)/'02_Control'!$B$18,CA10*(1+_xlfn.XLOOKUP("Recognised Revenue Growth %",tbl_assumptions[Driver],tbl_assumptions[Selected Scenario])))</f>
        <v>8377668.7922254</v>
      </c>
      <c r="CC10" s="27">
        <f>IF(CC$5="Actual",SUMIFS(tbl_model_feed_final[recognised_revenue_actual_gbp],tbl_model_feed_final[reporting_month_date],CC$4)/'02_Control'!$B$18,CB10*(1+_xlfn.XLOOKUP("Recognised Revenue Growth %",tbl_assumptions[Driver],tbl_assumptions[Selected Scenario])))</f>
        <v>8461445.4801476542</v>
      </c>
      <c r="CD10" s="27">
        <f>IF(CD$5="Actual",SUMIFS(tbl_model_feed_final[recognised_revenue_actual_gbp],tbl_model_feed_final[reporting_month_date],CD$4)/'02_Control'!$B$18,CC10*(1+_xlfn.XLOOKUP("Recognised Revenue Growth %",tbl_assumptions[Driver],tbl_assumptions[Selected Scenario])))</f>
        <v>8546059.9349491317</v>
      </c>
      <c r="CE10" s="27">
        <f>IF(CE$5="Actual",SUMIFS(tbl_model_feed_final[recognised_revenue_actual_gbp],tbl_model_feed_final[reporting_month_date],CE$4)/'02_Control'!$B$18,CD10*(1+_xlfn.XLOOKUP("Recognised Revenue Growth %",tbl_assumptions[Driver],tbl_assumptions[Selected Scenario])))</f>
        <v>8631520.534298623</v>
      </c>
      <c r="CF10" s="27">
        <f>IF(CF$5="Actual",SUMIFS(tbl_model_feed_final[recognised_revenue_actual_gbp],tbl_model_feed_final[reporting_month_date],CF$4)/'02_Control'!$B$18,CE10*(1+_xlfn.XLOOKUP("Recognised Revenue Growth %",tbl_assumptions[Driver],tbl_assumptions[Selected Scenario])))</f>
        <v>8717835.7396416087</v>
      </c>
      <c r="CG10" s="27">
        <f>IF(CG$5="Actual",SUMIFS(tbl_model_feed_final[recognised_revenue_actual_gbp],tbl_model_feed_final[reporting_month_date],CG$4)/'02_Control'!$B$18,CF10*(1+_xlfn.XLOOKUP("Recognised Revenue Growth %",tbl_assumptions[Driver],tbl_assumptions[Selected Scenario])))</f>
        <v>8805014.097038025</v>
      </c>
    </row>
    <row r="11" spans="1:85" x14ac:dyDescent="0.3">
      <c r="A11" s="26" t="s">
        <v>29</v>
      </c>
      <c r="B11" s="29">
        <f>IF(B$5="Actual",SUMIFS(tbl_model_feed_final[billings_gbp],tbl_model_feed_final[reporting_month_date],B$4)/'02_Control'!$B$18,"")</f>
        <v>4257902.3600000003</v>
      </c>
      <c r="C11" s="29">
        <f>IF(C$5="Actual",SUMIFS(tbl_model_feed_final[billings_gbp],tbl_model_feed_final[reporting_month_date],C$4)/'02_Control'!$B$18,"")</f>
        <v>3516657.2899999996</v>
      </c>
      <c r="D11" s="29">
        <f>IF(D$5="Actual",SUMIFS(tbl_model_feed_final[billings_gbp],tbl_model_feed_final[reporting_month_date],D$4)/'02_Control'!$B$18,"")</f>
        <v>3468525.1400000015</v>
      </c>
      <c r="E11" s="29">
        <f>IF(E$5="Actual",SUMIFS(tbl_model_feed_final[billings_gbp],tbl_model_feed_final[reporting_month_date],E$4)/'02_Control'!$B$18,"")</f>
        <v>3871963.4599999976</v>
      </c>
      <c r="F11" s="29">
        <f>IF(F$5="Actual",SUMIFS(tbl_model_feed_final[billings_gbp],tbl_model_feed_final[reporting_month_date],F$4)/'02_Control'!$B$18,"")</f>
        <v>3491692.5299999984</v>
      </c>
      <c r="G11" s="29">
        <f>IF(G$5="Actual",SUMIFS(tbl_model_feed_final[billings_gbp],tbl_model_feed_final[reporting_month_date],G$4)/'02_Control'!$B$18,"")</f>
        <v>4373359.3</v>
      </c>
      <c r="H11" s="29">
        <f>IF(H$5="Actual",SUMIFS(tbl_model_feed_final[billings_gbp],tbl_model_feed_final[reporting_month_date],H$4)/'02_Control'!$B$18,"")</f>
        <v>3788027.7699999991</v>
      </c>
      <c r="I11" s="29">
        <f>IF(I$5="Actual",SUMIFS(tbl_model_feed_final[billings_gbp],tbl_model_feed_final[reporting_month_date],I$4)/'02_Control'!$B$18,"")</f>
        <v>4187386.8999999994</v>
      </c>
      <c r="J11" s="29">
        <f>IF(J$5="Actual",SUMIFS(tbl_model_feed_final[billings_gbp],tbl_model_feed_final[reporting_month_date],J$4)/'02_Control'!$B$18,"")</f>
        <v>4154014.4700000011</v>
      </c>
      <c r="K11" s="29">
        <f>IF(K$5="Actual",SUMIFS(tbl_model_feed_final[billings_gbp],tbl_model_feed_final[reporting_month_date],K$4)/'02_Control'!$B$18,"")</f>
        <v>4065229.9700000016</v>
      </c>
      <c r="L11" s="29">
        <f>IF(L$5="Actual",SUMIFS(tbl_model_feed_final[billings_gbp],tbl_model_feed_final[reporting_month_date],L$4)/'02_Control'!$B$18,"")</f>
        <v>3442796.8099999982</v>
      </c>
      <c r="M11" s="29">
        <f>IF(M$5="Actual",SUMIFS(tbl_model_feed_final[billings_gbp],tbl_model_feed_final[reporting_month_date],M$4)/'02_Control'!$B$18,"")</f>
        <v>4361648.7</v>
      </c>
      <c r="N11" s="29">
        <f>IF(N$5="Actual",SUMIFS(tbl_model_feed_final[billings_gbp],tbl_model_feed_final[reporting_month_date],N$4)/'02_Control'!$B$18,"")</f>
        <v>4923043.9499999983</v>
      </c>
      <c r="O11" s="29">
        <f>IF(O$5="Actual",SUMIFS(tbl_model_feed_final[billings_gbp],tbl_model_feed_final[reporting_month_date],O$4)/'02_Control'!$B$18,"")</f>
        <v>4719002.1899999967</v>
      </c>
      <c r="P11" s="29">
        <f>IF(P$5="Actual",SUMIFS(tbl_model_feed_final[billings_gbp],tbl_model_feed_final[reporting_month_date],P$4)/'02_Control'!$B$18,"")</f>
        <v>4553954.549999998</v>
      </c>
      <c r="Q11" s="29">
        <f>IF(Q$5="Actual",SUMIFS(tbl_model_feed_final[billings_gbp],tbl_model_feed_final[reporting_month_date],Q$4)/'02_Control'!$B$18,"")</f>
        <v>4856606.120000001</v>
      </c>
      <c r="R11" s="29">
        <f>IF(R$5="Actual",SUMIFS(tbl_model_feed_final[billings_gbp],tbl_model_feed_final[reporting_month_date],R$4)/'02_Control'!$B$18,"")</f>
        <v>5030739.1999999993</v>
      </c>
      <c r="S11" s="29">
        <f>IF(S$5="Actual",SUMIFS(tbl_model_feed_final[billings_gbp],tbl_model_feed_final[reporting_month_date],S$4)/'02_Control'!$B$18,"")</f>
        <v>5437912.8200000022</v>
      </c>
      <c r="T11" s="29">
        <f>IF(T$5="Actual",SUMIFS(tbl_model_feed_final[billings_gbp],tbl_model_feed_final[reporting_month_date],T$4)/'02_Control'!$B$18,"")</f>
        <v>4702916.7400000021</v>
      </c>
      <c r="U11" s="29">
        <f>IF(U$5="Actual",SUMIFS(tbl_model_feed_final[billings_gbp],tbl_model_feed_final[reporting_month_date],U$4)/'02_Control'!$B$18,"")</f>
        <v>5640520.8799999971</v>
      </c>
      <c r="V11" s="29">
        <f>IF(V$5="Actual",SUMIFS(tbl_model_feed_final[billings_gbp],tbl_model_feed_final[reporting_month_date],V$4)/'02_Control'!$B$18,"")</f>
        <v>4991906.8899999978</v>
      </c>
      <c r="W11" s="29">
        <f>IF(W$5="Actual",SUMIFS(tbl_model_feed_final[billings_gbp],tbl_model_feed_final[reporting_month_date],W$4)/'02_Control'!$B$18,"")</f>
        <v>5203544.1399999997</v>
      </c>
      <c r="X11" s="29">
        <f>IF(X$5="Actual",SUMIFS(tbl_model_feed_final[billings_gbp],tbl_model_feed_final[reporting_month_date],X$4)/'02_Control'!$B$18,"")</f>
        <v>4280720.1700000018</v>
      </c>
      <c r="Y11" s="29">
        <f>IF(Y$5="Actual",SUMIFS(tbl_model_feed_final[billings_gbp],tbl_model_feed_final[reporting_month_date],Y$4)/'02_Control'!$B$18,"")</f>
        <v>5398544.8399999999</v>
      </c>
      <c r="Z11" s="29">
        <f>IF(Z$5="Actual",SUMIFS(tbl_model_feed_final[billings_gbp],tbl_model_feed_final[reporting_month_date],Z$4)/'02_Control'!$B$18,"")</f>
        <v>6123116.2799999956</v>
      </c>
      <c r="AA11" s="29">
        <f>IF(AA$5="Actual",SUMIFS(tbl_model_feed_final[billings_gbp],tbl_model_feed_final[reporting_month_date],AA$4)/'02_Control'!$B$18,"")</f>
        <v>5473109.7100000018</v>
      </c>
      <c r="AB11" s="29">
        <f>IF(AB$5="Actual",SUMIFS(tbl_model_feed_final[billings_gbp],tbl_model_feed_final[reporting_month_date],AB$4)/'02_Control'!$B$18,"")</f>
        <v>5528304.9799999977</v>
      </c>
      <c r="AC11" s="29">
        <f>IF(AC$5="Actual",SUMIFS(tbl_model_feed_final[billings_gbp],tbl_model_feed_final[reporting_month_date],AC$4)/'02_Control'!$B$18,"")</f>
        <v>5580523.6599999992</v>
      </c>
      <c r="AD11" s="29">
        <f>IF(AD$5="Actual",SUMIFS(tbl_model_feed_final[billings_gbp],tbl_model_feed_final[reporting_month_date],AD$4)/'02_Control'!$B$18,"")</f>
        <v>5875372.8199999994</v>
      </c>
      <c r="AE11" s="29">
        <f>IF(AE$5="Actual",SUMIFS(tbl_model_feed_final[billings_gbp],tbl_model_feed_final[reporting_month_date],AE$4)/'02_Control'!$B$18,"")</f>
        <v>5860225.3399999999</v>
      </c>
      <c r="AF11" s="29">
        <f>IF(AF$5="Actual",SUMIFS(tbl_model_feed_final[billings_gbp],tbl_model_feed_final[reporting_month_date],AF$4)/'02_Control'!$B$18,"")</f>
        <v>5904916.6700000009</v>
      </c>
      <c r="AG11" s="29">
        <f>IF(AG$5="Actual",SUMIFS(tbl_model_feed_final[billings_gbp],tbl_model_feed_final[reporting_month_date],AG$4)/'02_Control'!$B$18,"")</f>
        <v>6622923.0399999991</v>
      </c>
      <c r="AH11" s="29">
        <f>IF(AH$5="Actual",SUMIFS(tbl_model_feed_final[billings_gbp],tbl_model_feed_final[reporting_month_date],AH$4)/'02_Control'!$B$18,"")</f>
        <v>5730048.8600000031</v>
      </c>
      <c r="AI11" s="29">
        <f>IF(AI$5="Actual",SUMIFS(tbl_model_feed_final[billings_gbp],tbl_model_feed_final[reporting_month_date],AI$4)/'02_Control'!$B$18,"")</f>
        <v>5946265.4099999992</v>
      </c>
      <c r="AJ11" s="29">
        <f>IF(AJ$5="Actual",SUMIFS(tbl_model_feed_final[billings_gbp],tbl_model_feed_final[reporting_month_date],AJ$4)/'02_Control'!$B$18,"")</f>
        <v>4728518.3599999994</v>
      </c>
      <c r="AK11" s="29">
        <f>IF(AK$5="Actual",SUMIFS(tbl_model_feed_final[billings_gbp],tbl_model_feed_final[reporting_month_date],AK$4)/'02_Control'!$B$18,"")</f>
        <v>5864335.370000002</v>
      </c>
      <c r="AL11" s="29">
        <f>IF(AL$5="Actual",SUMIFS(tbl_model_feed_final[billings_gbp],tbl_model_feed_final[reporting_month_date],AL$4)/'02_Control'!$B$18,"")</f>
        <v>6359074.5400000038</v>
      </c>
      <c r="AM11" s="29">
        <f>IF(AM$5="Actual",SUMIFS(tbl_model_feed_final[billings_gbp],tbl_model_feed_final[reporting_month_date],AM$4)/'02_Control'!$B$18,"")</f>
        <v>5668152.0999999959</v>
      </c>
      <c r="AN11" s="29">
        <f>IF(AN$5="Actual",SUMIFS(tbl_model_feed_final[billings_gbp],tbl_model_feed_final[reporting_month_date],AN$4)/'02_Control'!$B$18,"")</f>
        <v>5701418.5500000017</v>
      </c>
      <c r="AO11" s="29">
        <f>IF(AO$5="Actual",SUMIFS(tbl_model_feed_final[billings_gbp],tbl_model_feed_final[reporting_month_date],AO$4)/'02_Control'!$B$18,"")</f>
        <v>5794043.8900000006</v>
      </c>
      <c r="AP11" s="29">
        <f>IF(AP$5="Actual",SUMIFS(tbl_model_feed_final[billings_gbp],tbl_model_feed_final[reporting_month_date],AP$4)/'02_Control'!$B$18,"")</f>
        <v>5788639.8900000006</v>
      </c>
      <c r="AQ11" s="30">
        <f>IF(AQ$5="Actual",SUMIFS(tbl_model_feed_final[billings_gbp],tbl_model_feed_final[reporting_month_date],AQ$4)/'02_Control'!$B$18,"")</f>
        <v>6028900.7300000023</v>
      </c>
      <c r="AR11" s="29">
        <f>IF(AR$5="Actual",SUMIFS(tbl_model_feed_final[billings_gbp],tbl_model_feed_final[reporting_month_date],AR$4)/'02_Control'!$B$18,AQ11*(1+_xlfn.XLOOKUP("Billings Growth %",tbl_assumptions[Driver],tbl_assumptions[Selected Scenario])))</f>
        <v>6077131.9358400023</v>
      </c>
      <c r="AS11" s="29">
        <f>IF(AS$5="Actual",SUMIFS(tbl_model_feed_final[billings_gbp],tbl_model_feed_final[reporting_month_date],AS$4)/'02_Control'!$B$18,AR11*(1+_xlfn.XLOOKUP("Billings Growth %",tbl_assumptions[Driver],tbl_assumptions[Selected Scenario])))</f>
        <v>6125748.9913267223</v>
      </c>
      <c r="AT11" s="29">
        <f>IF(AT$5="Actual",SUMIFS(tbl_model_feed_final[billings_gbp],tbl_model_feed_final[reporting_month_date],AT$4)/'02_Control'!$B$18,AS11*(1+_xlfn.XLOOKUP("Billings Growth %",tbl_assumptions[Driver],tbl_assumptions[Selected Scenario])))</f>
        <v>6174754.9832573365</v>
      </c>
      <c r="AU11" s="29">
        <f>IF(AU$5="Actual",SUMIFS(tbl_model_feed_final[billings_gbp],tbl_model_feed_final[reporting_month_date],AU$4)/'02_Control'!$B$18,AT11*(1+_xlfn.XLOOKUP("Billings Growth %",tbl_assumptions[Driver],tbl_assumptions[Selected Scenario])))</f>
        <v>6224153.0231233956</v>
      </c>
      <c r="AV11" s="29">
        <f>IF(AV$5="Actual",SUMIFS(tbl_model_feed_final[billings_gbp],tbl_model_feed_final[reporting_month_date],AV$4)/'02_Control'!$B$18,AU11*(1+_xlfn.XLOOKUP("Billings Growth %",tbl_assumptions[Driver],tbl_assumptions[Selected Scenario])))</f>
        <v>6273946.2473083828</v>
      </c>
      <c r="AW11" s="29">
        <f>IF(AW$5="Actual",SUMIFS(tbl_model_feed_final[billings_gbp],tbl_model_feed_final[reporting_month_date],AW$4)/'02_Control'!$B$18,AV11*(1+_xlfn.XLOOKUP("Billings Growth %",tbl_assumptions[Driver],tbl_assumptions[Selected Scenario])))</f>
        <v>6324137.81728685</v>
      </c>
      <c r="AX11" s="29">
        <f>IF(AX$5="Actual",SUMIFS(tbl_model_feed_final[billings_gbp],tbl_model_feed_final[reporting_month_date],AX$4)/'02_Control'!$B$18,AW11*(1+_xlfn.XLOOKUP("Billings Growth %",tbl_assumptions[Driver],tbl_assumptions[Selected Scenario])))</f>
        <v>6374730.919825145</v>
      </c>
      <c r="AY11" s="29">
        <f>IF(AY$5="Actual",SUMIFS(tbl_model_feed_final[billings_gbp],tbl_model_feed_final[reporting_month_date],AY$4)/'02_Control'!$B$18,AX11*(1+_xlfn.XLOOKUP("Billings Growth %",tbl_assumptions[Driver],tbl_assumptions[Selected Scenario])))</f>
        <v>6425728.7671837462</v>
      </c>
      <c r="AZ11" s="29">
        <f>IF(AZ$5="Actual",SUMIFS(tbl_model_feed_final[billings_gbp],tbl_model_feed_final[reporting_month_date],AZ$4)/'02_Control'!$B$18,AY11*(1+_xlfn.XLOOKUP("Billings Growth %",tbl_assumptions[Driver],tbl_assumptions[Selected Scenario])))</f>
        <v>6477134.597321216</v>
      </c>
      <c r="BA11" s="29">
        <f>IF(BA$5="Actual",SUMIFS(tbl_model_feed_final[billings_gbp],tbl_model_feed_final[reporting_month_date],BA$4)/'02_Control'!$B$18,AZ11*(1+_xlfn.XLOOKUP("Billings Growth %",tbl_assumptions[Driver],tbl_assumptions[Selected Scenario])))</f>
        <v>6528951.6740997862</v>
      </c>
      <c r="BB11" s="29">
        <f>IF(BB$5="Actual",SUMIFS(tbl_model_feed_final[billings_gbp],tbl_model_feed_final[reporting_month_date],BB$4)/'02_Control'!$B$18,BA11*(1+_xlfn.XLOOKUP("Billings Growth %",tbl_assumptions[Driver],tbl_assumptions[Selected Scenario])))</f>
        <v>6581183.2874925844</v>
      </c>
      <c r="BC11" s="29">
        <f>IF(BC$5="Actual",SUMIFS(tbl_model_feed_final[billings_gbp],tbl_model_feed_final[reporting_month_date],BC$4)/'02_Control'!$B$18,BB11*(1+_xlfn.XLOOKUP("Billings Growth %",tbl_assumptions[Driver],tbl_assumptions[Selected Scenario])))</f>
        <v>6633832.7537925253</v>
      </c>
      <c r="BD11" s="29">
        <f>IF(BD$5="Actual",SUMIFS(tbl_model_feed_final[billings_gbp],tbl_model_feed_final[reporting_month_date],BD$4)/'02_Control'!$B$18,BC11*(1+_xlfn.XLOOKUP("Billings Growth %",tbl_assumptions[Driver],tbl_assumptions[Selected Scenario])))</f>
        <v>6686903.4158228654</v>
      </c>
      <c r="BE11" s="29">
        <f>IF(BE$5="Actual",SUMIFS(tbl_model_feed_final[billings_gbp],tbl_model_feed_final[reporting_month_date],BE$4)/'02_Control'!$B$18,BD11*(1+_xlfn.XLOOKUP("Billings Growth %",tbl_assumptions[Driver],tbl_assumptions[Selected Scenario])))</f>
        <v>6740398.6431494486</v>
      </c>
      <c r="BF11" s="29">
        <f>IF(BF$5="Actual",SUMIFS(tbl_model_feed_final[billings_gbp],tbl_model_feed_final[reporting_month_date],BF$4)/'02_Control'!$B$18,BE11*(1+_xlfn.XLOOKUP("Billings Growth %",tbl_assumptions[Driver],tbl_assumptions[Selected Scenario])))</f>
        <v>6794321.8322946439</v>
      </c>
      <c r="BG11" s="29">
        <f>IF(BG$5="Actual",SUMIFS(tbl_model_feed_final[billings_gbp],tbl_model_feed_final[reporting_month_date],BG$4)/'02_Control'!$B$18,BF11*(1+_xlfn.XLOOKUP("Billings Growth %",tbl_assumptions[Driver],tbl_assumptions[Selected Scenario])))</f>
        <v>6848676.4069530014</v>
      </c>
      <c r="BH11" s="29">
        <f>IF(BH$5="Actual",SUMIFS(tbl_model_feed_final[billings_gbp],tbl_model_feed_final[reporting_month_date],BH$4)/'02_Control'!$B$18,BG11*(1+_xlfn.XLOOKUP("Billings Growth %",tbl_assumptions[Driver],tbl_assumptions[Selected Scenario])))</f>
        <v>6903465.8182086255</v>
      </c>
      <c r="BI11" s="29">
        <f>IF(BI$5="Actual",SUMIFS(tbl_model_feed_final[billings_gbp],tbl_model_feed_final[reporting_month_date],BI$4)/'02_Control'!$B$18,BH11*(1+_xlfn.XLOOKUP("Billings Growth %",tbl_assumptions[Driver],tbl_assumptions[Selected Scenario])))</f>
        <v>6958693.5447542947</v>
      </c>
      <c r="BJ11" s="29">
        <f>IF(BJ$5="Actual",SUMIFS(tbl_model_feed_final[billings_gbp],tbl_model_feed_final[reporting_month_date],BJ$4)/'02_Control'!$B$18,BI11*(1+_xlfn.XLOOKUP("Billings Growth %",tbl_assumptions[Driver],tbl_assumptions[Selected Scenario])))</f>
        <v>7014363.093112329</v>
      </c>
      <c r="BK11" s="29">
        <f>IF(BK$5="Actual",SUMIFS(tbl_model_feed_final[billings_gbp],tbl_model_feed_final[reporting_month_date],BK$4)/'02_Control'!$B$18,BJ11*(1+_xlfn.XLOOKUP("Billings Growth %",tbl_assumptions[Driver],tbl_assumptions[Selected Scenario])))</f>
        <v>7070477.9978572279</v>
      </c>
      <c r="BL11" s="29">
        <f>IF(BL$5="Actual",SUMIFS(tbl_model_feed_final[billings_gbp],tbl_model_feed_final[reporting_month_date],BL$4)/'02_Control'!$B$18,BK11*(1+_xlfn.XLOOKUP("Billings Growth %",tbl_assumptions[Driver],tbl_assumptions[Selected Scenario])))</f>
        <v>7127041.821840086</v>
      </c>
      <c r="BM11" s="29">
        <f>IF(BM$5="Actual",SUMIFS(tbl_model_feed_final[billings_gbp],tbl_model_feed_final[reporting_month_date],BM$4)/'02_Control'!$B$18,BL11*(1+_xlfn.XLOOKUP("Billings Growth %",tbl_assumptions[Driver],tbl_assumptions[Selected Scenario])))</f>
        <v>7184058.1564148068</v>
      </c>
      <c r="BN11" s="29">
        <f>IF(BN$5="Actual",SUMIFS(tbl_model_feed_final[billings_gbp],tbl_model_feed_final[reporting_month_date],BN$4)/'02_Control'!$B$18,BM11*(1+_xlfn.XLOOKUP("Billings Growth %",tbl_assumptions[Driver],tbl_assumptions[Selected Scenario])))</f>
        <v>7241530.621666125</v>
      </c>
      <c r="BO11" s="29">
        <f>IF(BO$5="Actual",SUMIFS(tbl_model_feed_final[billings_gbp],tbl_model_feed_final[reporting_month_date],BO$4)/'02_Control'!$B$18,BN11*(1+_xlfn.XLOOKUP("Billings Growth %",tbl_assumptions[Driver],tbl_assumptions[Selected Scenario])))</f>
        <v>7299462.8666394539</v>
      </c>
      <c r="BP11" s="29">
        <f>IF(BP$5="Actual",SUMIFS(tbl_model_feed_final[billings_gbp],tbl_model_feed_final[reporting_month_date],BP$4)/'02_Control'!$B$18,BO11*(1+_xlfn.XLOOKUP("Billings Growth %",tbl_assumptions[Driver],tbl_assumptions[Selected Scenario])))</f>
        <v>7357858.5695725698</v>
      </c>
      <c r="BQ11" s="29">
        <f>IF(BQ$5="Actual",SUMIFS(tbl_model_feed_final[billings_gbp],tbl_model_feed_final[reporting_month_date],BQ$4)/'02_Control'!$B$18,BP11*(1+_xlfn.XLOOKUP("Billings Growth %",tbl_assumptions[Driver],tbl_assumptions[Selected Scenario])))</f>
        <v>7416721.4381291503</v>
      </c>
      <c r="BR11" s="29">
        <f>IF(BR$5="Actual",SUMIFS(tbl_model_feed_final[billings_gbp],tbl_model_feed_final[reporting_month_date],BR$4)/'02_Control'!$B$18,BQ11*(1+_xlfn.XLOOKUP("Billings Growth %",tbl_assumptions[Driver],tbl_assumptions[Selected Scenario])))</f>
        <v>7476055.2096341839</v>
      </c>
      <c r="BS11" s="29">
        <f>IF(BS$5="Actual",SUMIFS(tbl_model_feed_final[billings_gbp],tbl_model_feed_final[reporting_month_date],BS$4)/'02_Control'!$B$18,BR11*(1+_xlfn.XLOOKUP("Billings Growth %",tbl_assumptions[Driver],tbl_assumptions[Selected Scenario])))</f>
        <v>7535863.6513112579</v>
      </c>
      <c r="BT11" s="29">
        <f>IF(BT$5="Actual",SUMIFS(tbl_model_feed_final[billings_gbp],tbl_model_feed_final[reporting_month_date],BT$4)/'02_Control'!$B$18,BS11*(1+_xlfn.XLOOKUP("Billings Growth %",tbl_assumptions[Driver],tbl_assumptions[Selected Scenario])))</f>
        <v>7596150.5605217479</v>
      </c>
      <c r="BU11" s="29">
        <f>IF(BU$5="Actual",SUMIFS(tbl_model_feed_final[billings_gbp],tbl_model_feed_final[reporting_month_date],BU$4)/'02_Control'!$B$18,BT11*(1+_xlfn.XLOOKUP("Billings Growth %",tbl_assumptions[Driver],tbl_assumptions[Selected Scenario])))</f>
        <v>7656919.7650059219</v>
      </c>
      <c r="BV11" s="29">
        <f>IF(BV$5="Actual",SUMIFS(tbl_model_feed_final[billings_gbp],tbl_model_feed_final[reporting_month_date],BV$4)/'02_Control'!$B$18,BU11*(1+_xlfn.XLOOKUP("Billings Growth %",tbl_assumptions[Driver],tbl_assumptions[Selected Scenario])))</f>
        <v>7718175.1231259694</v>
      </c>
      <c r="BW11" s="29">
        <f>IF(BW$5="Actual",SUMIFS(tbl_model_feed_final[billings_gbp],tbl_model_feed_final[reporting_month_date],BW$4)/'02_Control'!$B$18,BV11*(1+_xlfn.XLOOKUP("Billings Growth %",tbl_assumptions[Driver],tbl_assumptions[Selected Scenario])))</f>
        <v>7779920.5241109775</v>
      </c>
      <c r="BX11" s="29">
        <f>IF(BX$5="Actual",SUMIFS(tbl_model_feed_final[billings_gbp],tbl_model_feed_final[reporting_month_date],BX$4)/'02_Control'!$B$18,BW11*(1+_xlfn.XLOOKUP("Billings Growth %",tbl_assumptions[Driver],tbl_assumptions[Selected Scenario])))</f>
        <v>7842159.8883038657</v>
      </c>
      <c r="BY11" s="29">
        <f>IF(BY$5="Actual",SUMIFS(tbl_model_feed_final[billings_gbp],tbl_model_feed_final[reporting_month_date],BY$4)/'02_Control'!$B$18,BX11*(1+_xlfn.XLOOKUP("Billings Growth %",tbl_assumptions[Driver],tbl_assumptions[Selected Scenario])))</f>
        <v>7904897.1674102964</v>
      </c>
      <c r="BZ11" s="29">
        <f>IF(BZ$5="Actual",SUMIFS(tbl_model_feed_final[billings_gbp],tbl_model_feed_final[reporting_month_date],BZ$4)/'02_Control'!$B$18,BY11*(1+_xlfn.XLOOKUP("Billings Growth %",tbl_assumptions[Driver],tbl_assumptions[Selected Scenario])))</f>
        <v>7968136.3447495792</v>
      </c>
      <c r="CA11" s="29">
        <f>IF(CA$5="Actual",SUMIFS(tbl_model_feed_final[billings_gbp],tbl_model_feed_final[reporting_month_date],CA$4)/'02_Control'!$B$18,BZ11*(1+_xlfn.XLOOKUP("Billings Growth %",tbl_assumptions[Driver],tbl_assumptions[Selected Scenario])))</f>
        <v>8031881.435507576</v>
      </c>
      <c r="CB11" s="29">
        <f>IF(CB$5="Actual",SUMIFS(tbl_model_feed_final[billings_gbp],tbl_model_feed_final[reporting_month_date],CB$4)/'02_Control'!$B$18,CA11*(1+_xlfn.XLOOKUP("Billings Growth %",tbl_assumptions[Driver],tbl_assumptions[Selected Scenario])))</f>
        <v>8096136.4869916365</v>
      </c>
      <c r="CC11" s="29">
        <f>IF(CC$5="Actual",SUMIFS(tbl_model_feed_final[billings_gbp],tbl_model_feed_final[reporting_month_date],CC$4)/'02_Control'!$B$18,CB11*(1+_xlfn.XLOOKUP("Billings Growth %",tbl_assumptions[Driver],tbl_assumptions[Selected Scenario])))</f>
        <v>8160905.5788875697</v>
      </c>
      <c r="CD11" s="29">
        <f>IF(CD$5="Actual",SUMIFS(tbl_model_feed_final[billings_gbp],tbl_model_feed_final[reporting_month_date],CD$4)/'02_Control'!$B$18,CC11*(1+_xlfn.XLOOKUP("Billings Growth %",tbl_assumptions[Driver],tbl_assumptions[Selected Scenario])))</f>
        <v>8226192.8235186702</v>
      </c>
      <c r="CE11" s="29">
        <f>IF(CE$5="Actual",SUMIFS(tbl_model_feed_final[billings_gbp],tbl_model_feed_final[reporting_month_date],CE$4)/'02_Control'!$B$18,CD11*(1+_xlfn.XLOOKUP("Billings Growth %",tbl_assumptions[Driver],tbl_assumptions[Selected Scenario])))</f>
        <v>8292002.3661068194</v>
      </c>
      <c r="CF11" s="29">
        <f>IF(CF$5="Actual",SUMIFS(tbl_model_feed_final[billings_gbp],tbl_model_feed_final[reporting_month_date],CF$4)/'02_Control'!$B$18,CE11*(1+_xlfn.XLOOKUP("Billings Growth %",tbl_assumptions[Driver],tbl_assumptions[Selected Scenario])))</f>
        <v>8358338.3850356741</v>
      </c>
      <c r="CG11" s="29">
        <f>IF(CG$5="Actual",SUMIFS(tbl_model_feed_final[billings_gbp],tbl_model_feed_final[reporting_month_date],CG$4)/'02_Control'!$B$18,CF11*(1+_xlfn.XLOOKUP("Billings Growth %",tbl_assumptions[Driver],tbl_assumptions[Selected Scenario])))</f>
        <v>8425205.0921159592</v>
      </c>
    </row>
    <row r="12" spans="1:85" x14ac:dyDescent="0.3">
      <c r="A12" s="26" t="s">
        <v>145</v>
      </c>
      <c r="B12" s="27">
        <f>IF(B$5="Actual",SUMIFS(tbl_model_feed_final[headline_arr_gbp],tbl_model_feed_final[reporting_month_date],B$4)/'02_Control'!$B$18,"")</f>
        <v>44911761.720000021</v>
      </c>
      <c r="C12" s="27">
        <f>IF(C$5="Actual",SUMIFS(tbl_model_feed_final[headline_arr_gbp],tbl_model_feed_final[reporting_month_date],C$4)/'02_Control'!$B$18,"")</f>
        <v>45915624.680000015</v>
      </c>
      <c r="D12" s="27">
        <f>IF(D$5="Actual",SUMIFS(tbl_model_feed_final[headline_arr_gbp],tbl_model_feed_final[reporting_month_date],D$4)/'02_Control'!$B$18,"")</f>
        <v>47126865.719999991</v>
      </c>
      <c r="E12" s="27">
        <f>IF(E$5="Actual",SUMIFS(tbl_model_feed_final[headline_arr_gbp],tbl_model_feed_final[reporting_month_date],E$4)/'02_Control'!$B$18,"")</f>
        <v>48120114.679999948</v>
      </c>
      <c r="F12" s="27">
        <f>IF(F$5="Actual",SUMIFS(tbl_model_feed_final[headline_arr_gbp],tbl_model_feed_final[reporting_month_date],F$4)/'02_Control'!$B$18,"")</f>
        <v>49664637.560000002</v>
      </c>
      <c r="G12" s="27">
        <f>IF(G$5="Actual",SUMIFS(tbl_model_feed_final[headline_arr_gbp],tbl_model_feed_final[reporting_month_date],G$4)/'02_Control'!$B$18,"")</f>
        <v>50894905.239999957</v>
      </c>
      <c r="H12" s="27">
        <f>IF(H$5="Actual",SUMIFS(tbl_model_feed_final[headline_arr_gbp],tbl_model_feed_final[reporting_month_date],H$4)/'02_Control'!$B$18,"")</f>
        <v>52006800.600000024</v>
      </c>
      <c r="I12" s="27">
        <f>IF(I$5="Actual",SUMIFS(tbl_model_feed_final[headline_arr_gbp],tbl_model_feed_final[reporting_month_date],I$4)/'02_Control'!$B$18,"")</f>
        <v>53373484.359999977</v>
      </c>
      <c r="J12" s="27">
        <f>IF(J$5="Actual",SUMIFS(tbl_model_feed_final[headline_arr_gbp],tbl_model_feed_final[reporting_month_date],J$4)/'02_Control'!$B$18,"")</f>
        <v>54238542.839999951</v>
      </c>
      <c r="K12" s="27">
        <f>IF(K$5="Actual",SUMIFS(tbl_model_feed_final[headline_arr_gbp],tbl_model_feed_final[reporting_month_date],K$4)/'02_Control'!$B$18,"")</f>
        <v>55280483.439999998</v>
      </c>
      <c r="L12" s="27">
        <f>IF(L$5="Actual",SUMIFS(tbl_model_feed_final[headline_arr_gbp],tbl_model_feed_final[reporting_month_date],L$4)/'02_Control'!$B$18,"")</f>
        <v>56160300.439999998</v>
      </c>
      <c r="M12" s="27">
        <f>IF(M$5="Actual",SUMIFS(tbl_model_feed_final[headline_arr_gbp],tbl_model_feed_final[reporting_month_date],M$4)/'02_Control'!$B$18,"")</f>
        <v>57572912.400000036</v>
      </c>
      <c r="N12" s="27">
        <f>IF(N$5="Actual",SUMIFS(tbl_model_feed_final[headline_arr_gbp],tbl_model_feed_final[reporting_month_date],N$4)/'02_Control'!$B$18,"")</f>
        <v>58670087.560000047</v>
      </c>
      <c r="O12" s="27">
        <f>IF(O$5="Actual",SUMIFS(tbl_model_feed_final[headline_arr_gbp],tbl_model_feed_final[reporting_month_date],O$4)/'02_Control'!$B$18,"")</f>
        <v>59490517.279999979</v>
      </c>
      <c r="P12" s="27">
        <f>IF(P$5="Actual",SUMIFS(tbl_model_feed_final[headline_arr_gbp],tbl_model_feed_final[reporting_month_date],P$4)/'02_Control'!$B$18,"")</f>
        <v>60533225.640000001</v>
      </c>
      <c r="Q12" s="27">
        <f>IF(Q$5="Actual",SUMIFS(tbl_model_feed_final[headline_arr_gbp],tbl_model_feed_final[reporting_month_date],Q$4)/'02_Control'!$B$18,"")</f>
        <v>61193662.439999998</v>
      </c>
      <c r="R12" s="27">
        <f>IF(R$5="Actual",SUMIFS(tbl_model_feed_final[headline_arr_gbp],tbl_model_feed_final[reporting_month_date],R$4)/'02_Control'!$B$18,"")</f>
        <v>61762484.000000015</v>
      </c>
      <c r="S12" s="27">
        <f>IF(S$5="Actual",SUMIFS(tbl_model_feed_final[headline_arr_gbp],tbl_model_feed_final[reporting_month_date],S$4)/'02_Control'!$B$18,"")</f>
        <v>62270568.920000024</v>
      </c>
      <c r="T12" s="27">
        <f>IF(T$5="Actual",SUMIFS(tbl_model_feed_final[headline_arr_gbp],tbl_model_feed_final[reporting_month_date],T$4)/'02_Control'!$B$18,"")</f>
        <v>63375553.480000012</v>
      </c>
      <c r="U12" s="27">
        <f>IF(U$5="Actual",SUMIFS(tbl_model_feed_final[headline_arr_gbp],tbl_model_feed_final[reporting_month_date],U$4)/'02_Control'!$B$18,"")</f>
        <v>64380333.67999997</v>
      </c>
      <c r="V12" s="27">
        <f>IF(V$5="Actual",SUMIFS(tbl_model_feed_final[headline_arr_gbp],tbl_model_feed_final[reporting_month_date],V$4)/'02_Control'!$B$18,"")</f>
        <v>65228976.639999971</v>
      </c>
      <c r="W12" s="27">
        <f>IF(W$5="Actual",SUMIFS(tbl_model_feed_final[headline_arr_gbp],tbl_model_feed_final[reporting_month_date],W$4)/'02_Control'!$B$18,"")</f>
        <v>66038137.79999999</v>
      </c>
      <c r="X12" s="27">
        <f>IF(X$5="Actual",SUMIFS(tbl_model_feed_final[headline_arr_gbp],tbl_model_feed_final[reporting_month_date],X$4)/'02_Control'!$B$18,"")</f>
        <v>66693815.999999963</v>
      </c>
      <c r="Y12" s="27">
        <f>IF(Y$5="Actual",SUMIFS(tbl_model_feed_final[headline_arr_gbp],tbl_model_feed_final[reporting_month_date],Y$4)/'02_Control'!$B$18,"")</f>
        <v>67346335.919999972</v>
      </c>
      <c r="Z12" s="27">
        <f>IF(Z$5="Actual",SUMIFS(tbl_model_feed_final[headline_arr_gbp],tbl_model_feed_final[reporting_month_date],Z$4)/'02_Control'!$B$18,"")</f>
        <v>67895847.880000025</v>
      </c>
      <c r="AA12" s="27">
        <f>IF(AA$5="Actual",SUMIFS(tbl_model_feed_final[headline_arr_gbp],tbl_model_feed_final[reporting_month_date],AA$4)/'02_Control'!$B$18,"")</f>
        <v>68143605.99999997</v>
      </c>
      <c r="AB12" s="27">
        <f>IF(AB$5="Actual",SUMIFS(tbl_model_feed_final[headline_arr_gbp],tbl_model_feed_final[reporting_month_date],AB$4)/'02_Control'!$B$18,"")</f>
        <v>68461293.959999979</v>
      </c>
      <c r="AC12" s="27">
        <f>IF(AC$5="Actual",SUMIFS(tbl_model_feed_final[headline_arr_gbp],tbl_model_feed_final[reporting_month_date],AC$4)/'02_Control'!$B$18,"")</f>
        <v>68555707.840000004</v>
      </c>
      <c r="AD12" s="27">
        <f>IF(AD$5="Actual",SUMIFS(tbl_model_feed_final[headline_arr_gbp],tbl_model_feed_final[reporting_month_date],AD$4)/'02_Control'!$B$18,"")</f>
        <v>68715527.399999931</v>
      </c>
      <c r="AE12" s="27">
        <f>IF(AE$5="Actual",SUMIFS(tbl_model_feed_final[headline_arr_gbp],tbl_model_feed_final[reporting_month_date],AE$4)/'02_Control'!$B$18,"")</f>
        <v>68840717.399999991</v>
      </c>
      <c r="AF12" s="27">
        <f>IF(AF$5="Actual",SUMIFS(tbl_model_feed_final[headline_arr_gbp],tbl_model_feed_final[reporting_month_date],AF$4)/'02_Control'!$B$18,"")</f>
        <v>69001887.880000055</v>
      </c>
      <c r="AG12" s="27">
        <f>IF(AG$5="Actual",SUMIFS(tbl_model_feed_final[headline_arr_gbp],tbl_model_feed_final[reporting_month_date],AG$4)/'02_Control'!$B$18,"")</f>
        <v>69079612.479999989</v>
      </c>
      <c r="AH12" s="27">
        <f>IF(AH$5="Actual",SUMIFS(tbl_model_feed_final[headline_arr_gbp],tbl_model_feed_final[reporting_month_date],AH$4)/'02_Control'!$B$18,"")</f>
        <v>69129309.559999973</v>
      </c>
      <c r="AI12" s="27">
        <f>IF(AI$5="Actual",SUMIFS(tbl_model_feed_final[headline_arr_gbp],tbl_model_feed_final[reporting_month_date],AI$4)/'02_Control'!$B$18,"")</f>
        <v>69220133.040000007</v>
      </c>
      <c r="AJ12" s="27">
        <f>IF(AJ$5="Actual",SUMIFS(tbl_model_feed_final[headline_arr_gbp],tbl_model_feed_final[reporting_month_date],AJ$4)/'02_Control'!$B$18,"")</f>
        <v>69371381.160000011</v>
      </c>
      <c r="AK12" s="27">
        <f>IF(AK$5="Actual",SUMIFS(tbl_model_feed_final[headline_arr_gbp],tbl_model_feed_final[reporting_month_date],AK$4)/'02_Control'!$B$18,"")</f>
        <v>69595557.280000031</v>
      </c>
      <c r="AL12" s="27">
        <f>IF(AL$5="Actual",SUMIFS(tbl_model_feed_final[headline_arr_gbp],tbl_model_feed_final[reporting_month_date],AL$4)/'02_Control'!$B$18,"")</f>
        <v>69483565.080000013</v>
      </c>
      <c r="AM12" s="27">
        <f>IF(AM$5="Actual",SUMIFS(tbl_model_feed_final[headline_arr_gbp],tbl_model_feed_final[reporting_month_date],AM$4)/'02_Control'!$B$18,"")</f>
        <v>69514779.64000003</v>
      </c>
      <c r="AN12" s="27">
        <f>IF(AN$5="Actual",SUMIFS(tbl_model_feed_final[headline_arr_gbp],tbl_model_feed_final[reporting_month_date],AN$4)/'02_Control'!$B$18,"")</f>
        <v>69325251.239999995</v>
      </c>
      <c r="AO12" s="27">
        <f>IF(AO$5="Actual",SUMIFS(tbl_model_feed_final[headline_arr_gbp],tbl_model_feed_final[reporting_month_date],AO$4)/'02_Control'!$B$18,"")</f>
        <v>69371265.23999995</v>
      </c>
      <c r="AP12" s="27">
        <f>IF(AP$5="Actual",SUMIFS(tbl_model_feed_final[headline_arr_gbp],tbl_model_feed_final[reporting_month_date],AP$4)/'02_Control'!$B$18,"")</f>
        <v>69237758.639999986</v>
      </c>
      <c r="AQ12" s="28">
        <f>IF(AQ$5="Actual",SUMIFS(tbl_model_feed_final[headline_arr_gbp],tbl_model_feed_final[reporting_month_date],AQ$4)/'02_Control'!$B$18,"")</f>
        <v>67446138.400000021</v>
      </c>
      <c r="AR12" s="27">
        <f>IF(AR$5="Actual",SUMIFS(tbl_model_feed_final[headline_arr_gbp],tbl_model_feed_final[reporting_month_date],AR$4)/'02_Control'!$B$18,AQ12*(1+_xlfn.XLOOKUP("Headline ARR Growth %",tbl_assumptions[Driver],tbl_assumptions[Selected Scenario])))</f>
        <v>68053153.645600021</v>
      </c>
      <c r="AS12" s="27">
        <f>IF(AS$5="Actual",SUMIFS(tbl_model_feed_final[headline_arr_gbp],tbl_model_feed_final[reporting_month_date],AS$4)/'02_Control'!$B$18,AR12*(1+_xlfn.XLOOKUP("Headline ARR Growth %",tbl_assumptions[Driver],tbl_assumptions[Selected Scenario])))</f>
        <v>68665632.02841042</v>
      </c>
      <c r="AT12" s="27">
        <f>IF(AT$5="Actual",SUMIFS(tbl_model_feed_final[headline_arr_gbp],tbl_model_feed_final[reporting_month_date],AT$4)/'02_Control'!$B$18,AS12*(1+_xlfn.XLOOKUP("Headline ARR Growth %",tbl_assumptions[Driver],tbl_assumptions[Selected Scenario])))</f>
        <v>69283622.716666102</v>
      </c>
      <c r="AU12" s="27">
        <f>IF(AU$5="Actual",SUMIFS(tbl_model_feed_final[headline_arr_gbp],tbl_model_feed_final[reporting_month_date],AU$4)/'02_Control'!$B$18,AT12*(1+_xlfn.XLOOKUP("Headline ARR Growth %",tbl_assumptions[Driver],tbl_assumptions[Selected Scenario])))</f>
        <v>69907175.32111609</v>
      </c>
      <c r="AV12" s="27">
        <f>IF(AV$5="Actual",SUMIFS(tbl_model_feed_final[headline_arr_gbp],tbl_model_feed_final[reporting_month_date],AV$4)/'02_Control'!$B$18,AU12*(1+_xlfn.XLOOKUP("Headline ARR Growth %",tbl_assumptions[Driver],tbl_assumptions[Selected Scenario])))</f>
        <v>70536339.899006128</v>
      </c>
      <c r="AW12" s="27">
        <f>IF(AW$5="Actual",SUMIFS(tbl_model_feed_final[headline_arr_gbp],tbl_model_feed_final[reporting_month_date],AW$4)/'02_Control'!$B$18,AV12*(1+_xlfn.XLOOKUP("Headline ARR Growth %",tbl_assumptions[Driver],tbl_assumptions[Selected Scenario])))</f>
        <v>71171166.958097175</v>
      </c>
      <c r="AX12" s="27">
        <f>IF(AX$5="Actual",SUMIFS(tbl_model_feed_final[headline_arr_gbp],tbl_model_feed_final[reporting_month_date],AX$4)/'02_Control'!$B$18,AW12*(1+_xlfn.XLOOKUP("Headline ARR Growth %",tbl_assumptions[Driver],tbl_assumptions[Selected Scenario])))</f>
        <v>71811707.460720047</v>
      </c>
      <c r="AY12" s="27">
        <f>IF(AY$5="Actual",SUMIFS(tbl_model_feed_final[headline_arr_gbp],tbl_model_feed_final[reporting_month_date],AY$4)/'02_Control'!$B$18,AX12*(1+_xlfn.XLOOKUP("Headline ARR Growth %",tbl_assumptions[Driver],tbl_assumptions[Selected Scenario])))</f>
        <v>72458012.827866524</v>
      </c>
      <c r="AZ12" s="27">
        <f>IF(AZ$5="Actual",SUMIFS(tbl_model_feed_final[headline_arr_gbp],tbl_model_feed_final[reporting_month_date],AZ$4)/'02_Control'!$B$18,AY12*(1+_xlfn.XLOOKUP("Headline ARR Growth %",tbl_assumptions[Driver],tbl_assumptions[Selected Scenario])))</f>
        <v>73110134.943317309</v>
      </c>
      <c r="BA12" s="27">
        <f>IF(BA$5="Actual",SUMIFS(tbl_model_feed_final[headline_arr_gbp],tbl_model_feed_final[reporting_month_date],BA$4)/'02_Control'!$B$18,AZ12*(1+_xlfn.XLOOKUP("Headline ARR Growth %",tbl_assumptions[Driver],tbl_assumptions[Selected Scenario])))</f>
        <v>73768126.157807156</v>
      </c>
      <c r="BB12" s="27">
        <f>IF(BB$5="Actual",SUMIFS(tbl_model_feed_final[headline_arr_gbp],tbl_model_feed_final[reporting_month_date],BB$4)/'02_Control'!$B$18,BA12*(1+_xlfn.XLOOKUP("Headline ARR Growth %",tbl_assumptions[Driver],tbl_assumptions[Selected Scenario])))</f>
        <v>74432039.293227419</v>
      </c>
      <c r="BC12" s="27">
        <f>IF(BC$5="Actual",SUMIFS(tbl_model_feed_final[headline_arr_gbp],tbl_model_feed_final[reporting_month_date],BC$4)/'02_Control'!$B$18,BB12*(1+_xlfn.XLOOKUP("Headline ARR Growth %",tbl_assumptions[Driver],tbl_assumptions[Selected Scenario])))</f>
        <v>75101927.646866456</v>
      </c>
      <c r="BD12" s="27">
        <f>IF(BD$5="Actual",SUMIFS(tbl_model_feed_final[headline_arr_gbp],tbl_model_feed_final[reporting_month_date],BD$4)/'02_Control'!$B$18,BC12*(1+_xlfn.XLOOKUP("Headline ARR Growth %",tbl_assumptions[Driver],tbl_assumptions[Selected Scenario])))</f>
        <v>75777844.995688245</v>
      </c>
      <c r="BE12" s="27">
        <f>IF(BE$5="Actual",SUMIFS(tbl_model_feed_final[headline_arr_gbp],tbl_model_feed_final[reporting_month_date],BE$4)/'02_Control'!$B$18,BD12*(1+_xlfn.XLOOKUP("Headline ARR Growth %",tbl_assumptions[Driver],tbl_assumptions[Selected Scenario])))</f>
        <v>76459845.600649431</v>
      </c>
      <c r="BF12" s="27">
        <f>IF(BF$5="Actual",SUMIFS(tbl_model_feed_final[headline_arr_gbp],tbl_model_feed_final[reporting_month_date],BF$4)/'02_Control'!$B$18,BE12*(1+_xlfn.XLOOKUP("Headline ARR Growth %",tbl_assumptions[Driver],tbl_assumptions[Selected Scenario])))</f>
        <v>77147984.211055264</v>
      </c>
      <c r="BG12" s="27">
        <f>IF(BG$5="Actual",SUMIFS(tbl_model_feed_final[headline_arr_gbp],tbl_model_feed_final[reporting_month_date],BG$4)/'02_Control'!$B$18,BF12*(1+_xlfn.XLOOKUP("Headline ARR Growth %",tbl_assumptions[Driver],tbl_assumptions[Selected Scenario])))</f>
        <v>77842316.068954751</v>
      </c>
      <c r="BH12" s="27">
        <f>IF(BH$5="Actual",SUMIFS(tbl_model_feed_final[headline_arr_gbp],tbl_model_feed_final[reporting_month_date],BH$4)/'02_Control'!$B$18,BG12*(1+_xlfn.XLOOKUP("Headline ARR Growth %",tbl_assumptions[Driver],tbl_assumptions[Selected Scenario])))</f>
        <v>78542896.913575336</v>
      </c>
      <c r="BI12" s="27">
        <f>IF(BI$5="Actual",SUMIFS(tbl_model_feed_final[headline_arr_gbp],tbl_model_feed_final[reporting_month_date],BI$4)/'02_Control'!$B$18,BH12*(1+_xlfn.XLOOKUP("Headline ARR Growth %",tbl_assumptions[Driver],tbl_assumptions[Selected Scenario])))</f>
        <v>79249782.98579751</v>
      </c>
      <c r="BJ12" s="27">
        <f>IF(BJ$5="Actual",SUMIFS(tbl_model_feed_final[headline_arr_gbp],tbl_model_feed_final[reporting_month_date],BJ$4)/'02_Control'!$B$18,BI12*(1+_xlfn.XLOOKUP("Headline ARR Growth %",tbl_assumptions[Driver],tbl_assumptions[Selected Scenario])))</f>
        <v>79963031.032669678</v>
      </c>
      <c r="BK12" s="27">
        <f>IF(BK$5="Actual",SUMIFS(tbl_model_feed_final[headline_arr_gbp],tbl_model_feed_final[reporting_month_date],BK$4)/'02_Control'!$B$18,BJ12*(1+_xlfn.XLOOKUP("Headline ARR Growth %",tbl_assumptions[Driver],tbl_assumptions[Selected Scenario])))</f>
        <v>80682698.311963692</v>
      </c>
      <c r="BL12" s="27">
        <f>IF(BL$5="Actual",SUMIFS(tbl_model_feed_final[headline_arr_gbp],tbl_model_feed_final[reporting_month_date],BL$4)/'02_Control'!$B$18,BK12*(1+_xlfn.XLOOKUP("Headline ARR Growth %",tbl_assumptions[Driver],tbl_assumptions[Selected Scenario])))</f>
        <v>81408842.596771359</v>
      </c>
      <c r="BM12" s="27">
        <f>IF(BM$5="Actual",SUMIFS(tbl_model_feed_final[headline_arr_gbp],tbl_model_feed_final[reporting_month_date],BM$4)/'02_Control'!$B$18,BL12*(1+_xlfn.XLOOKUP("Headline ARR Growth %",tbl_assumptions[Driver],tbl_assumptions[Selected Scenario])))</f>
        <v>82141522.180142298</v>
      </c>
      <c r="BN12" s="27">
        <f>IF(BN$5="Actual",SUMIFS(tbl_model_feed_final[headline_arr_gbp],tbl_model_feed_final[reporting_month_date],BN$4)/'02_Control'!$B$18,BM12*(1+_xlfn.XLOOKUP("Headline ARR Growth %",tbl_assumptions[Driver],tbl_assumptions[Selected Scenario])))</f>
        <v>82880795.879763573</v>
      </c>
      <c r="BO12" s="27">
        <f>IF(BO$5="Actual",SUMIFS(tbl_model_feed_final[headline_arr_gbp],tbl_model_feed_final[reporting_month_date],BO$4)/'02_Control'!$B$18,BN12*(1+_xlfn.XLOOKUP("Headline ARR Growth %",tbl_assumptions[Driver],tbl_assumptions[Selected Scenario])))</f>
        <v>83626723.042681441</v>
      </c>
      <c r="BP12" s="27">
        <f>IF(BP$5="Actual",SUMIFS(tbl_model_feed_final[headline_arr_gbp],tbl_model_feed_final[reporting_month_date],BP$4)/'02_Control'!$B$18,BO12*(1+_xlfn.XLOOKUP("Headline ARR Growth %",tbl_assumptions[Driver],tbl_assumptions[Selected Scenario])))</f>
        <v>84379363.550065562</v>
      </c>
      <c r="BQ12" s="27">
        <f>IF(BQ$5="Actual",SUMIFS(tbl_model_feed_final[headline_arr_gbp],tbl_model_feed_final[reporting_month_date],BQ$4)/'02_Control'!$B$18,BP12*(1+_xlfn.XLOOKUP("Headline ARR Growth %",tbl_assumptions[Driver],tbl_assumptions[Selected Scenario])))</f>
        <v>85138777.82201615</v>
      </c>
      <c r="BR12" s="27">
        <f>IF(BR$5="Actual",SUMIFS(tbl_model_feed_final[headline_arr_gbp],tbl_model_feed_final[reporting_month_date],BR$4)/'02_Control'!$B$18,BQ12*(1+_xlfn.XLOOKUP("Headline ARR Growth %",tbl_assumptions[Driver],tbl_assumptions[Selected Scenario])))</f>
        <v>85905026.822414279</v>
      </c>
      <c r="BS12" s="27">
        <f>IF(BS$5="Actual",SUMIFS(tbl_model_feed_final[headline_arr_gbp],tbl_model_feed_final[reporting_month_date],BS$4)/'02_Control'!$B$18,BR12*(1+_xlfn.XLOOKUP("Headline ARR Growth %",tbl_assumptions[Driver],tbl_assumptions[Selected Scenario])))</f>
        <v>86678172.063815996</v>
      </c>
      <c r="BT12" s="27">
        <f>IF(BT$5="Actual",SUMIFS(tbl_model_feed_final[headline_arr_gbp],tbl_model_feed_final[reporting_month_date],BT$4)/'02_Control'!$B$18,BS12*(1+_xlfn.XLOOKUP("Headline ARR Growth %",tbl_assumptions[Driver],tbl_assumptions[Selected Scenario])))</f>
        <v>87458275.612390324</v>
      </c>
      <c r="BU12" s="27">
        <f>IF(BU$5="Actual",SUMIFS(tbl_model_feed_final[headline_arr_gbp],tbl_model_feed_final[reporting_month_date],BU$4)/'02_Control'!$B$18,BT12*(1+_xlfn.XLOOKUP("Headline ARR Growth %",tbl_assumptions[Driver],tbl_assumptions[Selected Scenario])))</f>
        <v>88245400.092901826</v>
      </c>
      <c r="BV12" s="27">
        <f>IF(BV$5="Actual",SUMIFS(tbl_model_feed_final[headline_arr_gbp],tbl_model_feed_final[reporting_month_date],BV$4)/'02_Control'!$B$18,BU12*(1+_xlfn.XLOOKUP("Headline ARR Growth %",tbl_assumptions[Driver],tbl_assumptions[Selected Scenario])))</f>
        <v>89039608.693737939</v>
      </c>
      <c r="BW12" s="27">
        <f>IF(BW$5="Actual",SUMIFS(tbl_model_feed_final[headline_arr_gbp],tbl_model_feed_final[reporting_month_date],BW$4)/'02_Control'!$B$18,BV12*(1+_xlfn.XLOOKUP("Headline ARR Growth %",tbl_assumptions[Driver],tbl_assumptions[Selected Scenario])))</f>
        <v>89840965.171981573</v>
      </c>
      <c r="BX12" s="27">
        <f>IF(BX$5="Actual",SUMIFS(tbl_model_feed_final[headline_arr_gbp],tbl_model_feed_final[reporting_month_date],BX$4)/'02_Control'!$B$18,BW12*(1+_xlfn.XLOOKUP("Headline ARR Growth %",tbl_assumptions[Driver],tbl_assumptions[Selected Scenario])))</f>
        <v>90649533.858529404</v>
      </c>
      <c r="BY12" s="27">
        <f>IF(BY$5="Actual",SUMIFS(tbl_model_feed_final[headline_arr_gbp],tbl_model_feed_final[reporting_month_date],BY$4)/'02_Control'!$B$18,BX12*(1+_xlfn.XLOOKUP("Headline ARR Growth %",tbl_assumptions[Driver],tbl_assumptions[Selected Scenario])))</f>
        <v>91465379.663256153</v>
      </c>
      <c r="BZ12" s="27">
        <f>IF(BZ$5="Actual",SUMIFS(tbl_model_feed_final[headline_arr_gbp],tbl_model_feed_final[reporting_month_date],BZ$4)/'02_Control'!$B$18,BY12*(1+_xlfn.XLOOKUP("Headline ARR Growth %",tbl_assumptions[Driver],tbl_assumptions[Selected Scenario])))</f>
        <v>92288568.080225453</v>
      </c>
      <c r="CA12" s="27">
        <f>IF(CA$5="Actual",SUMIFS(tbl_model_feed_final[headline_arr_gbp],tbl_model_feed_final[reporting_month_date],CA$4)/'02_Control'!$B$18,BZ12*(1+_xlfn.XLOOKUP("Headline ARR Growth %",tbl_assumptions[Driver],tbl_assumptions[Selected Scenario])))</f>
        <v>93119165.192947477</v>
      </c>
      <c r="CB12" s="27">
        <f>IF(CB$5="Actual",SUMIFS(tbl_model_feed_final[headline_arr_gbp],tbl_model_feed_final[reporting_month_date],CB$4)/'02_Control'!$B$18,CA12*(1+_xlfn.XLOOKUP("Headline ARR Growth %",tbl_assumptions[Driver],tbl_assumptions[Selected Scenario])))</f>
        <v>93957237.679683998</v>
      </c>
      <c r="CC12" s="27">
        <f>IF(CC$5="Actual",SUMIFS(tbl_model_feed_final[headline_arr_gbp],tbl_model_feed_final[reporting_month_date],CC$4)/'02_Control'!$B$18,CB12*(1+_xlfn.XLOOKUP("Headline ARR Growth %",tbl_assumptions[Driver],tbl_assumptions[Selected Scenario])))</f>
        <v>94802852.81880115</v>
      </c>
      <c r="CD12" s="27">
        <f>IF(CD$5="Actual",SUMIFS(tbl_model_feed_final[headline_arr_gbp],tbl_model_feed_final[reporting_month_date],CD$4)/'02_Control'!$B$18,CC12*(1+_xlfn.XLOOKUP("Headline ARR Growth %",tbl_assumptions[Driver],tbl_assumptions[Selected Scenario])))</f>
        <v>95656078.494170353</v>
      </c>
      <c r="CE12" s="27">
        <f>IF(CE$5="Actual",SUMIFS(tbl_model_feed_final[headline_arr_gbp],tbl_model_feed_final[reporting_month_date],CE$4)/'02_Control'!$B$18,CD12*(1+_xlfn.XLOOKUP("Headline ARR Growth %",tbl_assumptions[Driver],tbl_assumptions[Selected Scenario])))</f>
        <v>96516983.20061788</v>
      </c>
      <c r="CF12" s="27">
        <f>IF(CF$5="Actual",SUMIFS(tbl_model_feed_final[headline_arr_gbp],tbl_model_feed_final[reporting_month_date],CF$4)/'02_Control'!$B$18,CE12*(1+_xlfn.XLOOKUP("Headline ARR Growth %",tbl_assumptions[Driver],tbl_assumptions[Selected Scenario])))</f>
        <v>97385636.049423426</v>
      </c>
      <c r="CG12" s="27">
        <f>IF(CG$5="Actual",SUMIFS(tbl_model_feed_final[headline_arr_gbp],tbl_model_feed_final[reporting_month_date],CG$4)/'02_Control'!$B$18,CF12*(1+_xlfn.XLOOKUP("Headline ARR Growth %",tbl_assumptions[Driver],tbl_assumptions[Selected Scenario])))</f>
        <v>98262106.773868233</v>
      </c>
    </row>
    <row r="13" spans="1:85" x14ac:dyDescent="0.3">
      <c r="A13" s="26" t="s">
        <v>130</v>
      </c>
      <c r="B13" s="29">
        <f>IF(B$5="Actual",SUMIFS(tbl_model_feed_final[net_arr_delta_gbp],tbl_model_feed_final[reporting_month_date],B$4)/'02_Control'!$B$18,"")</f>
        <v>1126278.6399999999</v>
      </c>
      <c r="C13" s="29">
        <f>IF(C$5="Actual",SUMIFS(tbl_model_feed_final[net_arr_delta_gbp],tbl_model_feed_final[reporting_month_date],C$4)/'02_Control'!$B$18,"")</f>
        <v>1003862.96</v>
      </c>
      <c r="D13" s="29">
        <f>IF(D$5="Actual",SUMIFS(tbl_model_feed_final[net_arr_delta_gbp],tbl_model_feed_final[reporting_month_date],D$4)/'02_Control'!$B$18,"")</f>
        <v>1211241.0399999996</v>
      </c>
      <c r="E13" s="29">
        <f>IF(E$5="Actual",SUMIFS(tbl_model_feed_final[net_arr_delta_gbp],tbl_model_feed_final[reporting_month_date],E$4)/'02_Control'!$B$18,"")</f>
        <v>993248.96</v>
      </c>
      <c r="F13" s="29">
        <f>IF(F$5="Actual",SUMIFS(tbl_model_feed_final[net_arr_delta_gbp],tbl_model_feed_final[reporting_month_date],F$4)/'02_Control'!$B$18,"")</f>
        <v>1544522.88</v>
      </c>
      <c r="G13" s="29">
        <f>IF(G$5="Actual",SUMIFS(tbl_model_feed_final[net_arr_delta_gbp],tbl_model_feed_final[reporting_month_date],G$4)/'02_Control'!$B$18,"")</f>
        <v>1230267.6800000004</v>
      </c>
      <c r="H13" s="29">
        <f>IF(H$5="Actual",SUMIFS(tbl_model_feed_final[net_arr_delta_gbp],tbl_model_feed_final[reporting_month_date],H$4)/'02_Control'!$B$18,"")</f>
        <v>1111895.3599999999</v>
      </c>
      <c r="I13" s="29">
        <f>IF(I$5="Actual",SUMIFS(tbl_model_feed_final[net_arr_delta_gbp],tbl_model_feed_final[reporting_month_date],I$4)/'02_Control'!$B$18,"")</f>
        <v>1366683.7599999995</v>
      </c>
      <c r="J13" s="29">
        <f>IF(J$5="Actual",SUMIFS(tbl_model_feed_final[net_arr_delta_gbp],tbl_model_feed_final[reporting_month_date],J$4)/'02_Control'!$B$18,"")</f>
        <v>865058.48</v>
      </c>
      <c r="K13" s="29">
        <f>IF(K$5="Actual",SUMIFS(tbl_model_feed_final[net_arr_delta_gbp],tbl_model_feed_final[reporting_month_date],K$4)/'02_Control'!$B$18,"")</f>
        <v>1028740.6</v>
      </c>
      <c r="L13" s="29">
        <f>IF(L$5="Actual",SUMIFS(tbl_model_feed_final[net_arr_delta_gbp],tbl_model_feed_final[reporting_month_date],L$4)/'02_Control'!$B$18,"")</f>
        <v>879817.00000000012</v>
      </c>
      <c r="M13" s="29">
        <f>IF(M$5="Actual",SUMIFS(tbl_model_feed_final[net_arr_delta_gbp],tbl_model_feed_final[reporting_month_date],M$4)/'02_Control'!$B$18,"")</f>
        <v>1415491.9600000002</v>
      </c>
      <c r="N13" s="29">
        <f>IF(N$5="Actual",SUMIFS(tbl_model_feed_final[net_arr_delta_gbp],tbl_model_feed_final[reporting_month_date],N$4)/'02_Control'!$B$18,"")</f>
        <v>1097175.1600000001</v>
      </c>
      <c r="O13" s="29">
        <f>IF(O$5="Actual",SUMIFS(tbl_model_feed_final[net_arr_delta_gbp],tbl_model_feed_final[reporting_month_date],O$4)/'02_Control'!$B$18,"")</f>
        <v>820529.72</v>
      </c>
      <c r="P13" s="29">
        <f>IF(P$5="Actual",SUMIFS(tbl_model_feed_final[net_arr_delta_gbp],tbl_model_feed_final[reporting_month_date],P$4)/'02_Control'!$B$18,"")</f>
        <v>1042708.36</v>
      </c>
      <c r="Q13" s="29">
        <f>IF(Q$5="Actual",SUMIFS(tbl_model_feed_final[net_arr_delta_gbp],tbl_model_feed_final[reporting_month_date],Q$4)/'02_Control'!$B$18,"")</f>
        <v>661636.80000000005</v>
      </c>
      <c r="R13" s="29">
        <f>IF(R$5="Actual",SUMIFS(tbl_model_feed_final[net_arr_delta_gbp],tbl_model_feed_final[reporting_month_date],R$4)/'02_Control'!$B$18,"")</f>
        <v>571701.55999999994</v>
      </c>
      <c r="S13" s="29">
        <f>IF(S$5="Actual",SUMIFS(tbl_model_feed_final[net_arr_delta_gbp],tbl_model_feed_final[reporting_month_date],S$4)/'02_Control'!$B$18,"")</f>
        <v>511972.92000000004</v>
      </c>
      <c r="T13" s="29">
        <f>IF(T$5="Actual",SUMIFS(tbl_model_feed_final[net_arr_delta_gbp],tbl_model_feed_final[reporting_month_date],T$4)/'02_Control'!$B$18,"")</f>
        <v>1109484.56</v>
      </c>
      <c r="U13" s="29">
        <f>IF(U$5="Actual",SUMIFS(tbl_model_feed_final[net_arr_delta_gbp],tbl_model_feed_final[reporting_month_date],U$4)/'02_Control'!$B$18,"")</f>
        <v>1004780.2000000002</v>
      </c>
      <c r="V13" s="29">
        <f>IF(V$5="Actual",SUMIFS(tbl_model_feed_final[net_arr_delta_gbp],tbl_model_feed_final[reporting_month_date],V$4)/'02_Control'!$B$18,"")</f>
        <v>838950.96000000008</v>
      </c>
      <c r="W13" s="29">
        <f>IF(W$5="Actual",SUMIFS(tbl_model_feed_final[net_arr_delta_gbp],tbl_model_feed_final[reporting_month_date],W$4)/'02_Control'!$B$18,"")</f>
        <v>813683.59999999986</v>
      </c>
      <c r="X13" s="29">
        <f>IF(X$5="Actual",SUMIFS(tbl_model_feed_final[net_arr_delta_gbp],tbl_model_feed_final[reporting_month_date],X$4)/'02_Control'!$B$18,"")</f>
        <v>655678.19999999995</v>
      </c>
      <c r="Y13" s="29">
        <f>IF(Y$5="Actual",SUMIFS(tbl_model_feed_final[net_arr_delta_gbp],tbl_model_feed_final[reporting_month_date],Y$4)/'02_Control'!$B$18,"")</f>
        <v>652519.92000000004</v>
      </c>
      <c r="Z13" s="29">
        <f>IF(Z$5="Actual",SUMIFS(tbl_model_feed_final[net_arr_delta_gbp],tbl_model_feed_final[reporting_month_date],Z$4)/'02_Control'!$B$18,"")</f>
        <v>549511.96</v>
      </c>
      <c r="AA13" s="29">
        <f>IF(AA$5="Actual",SUMIFS(tbl_model_feed_final[net_arr_delta_gbp],tbl_model_feed_final[reporting_month_date],AA$4)/'02_Control'!$B$18,"")</f>
        <v>247858.12000000005</v>
      </c>
      <c r="AB13" s="29">
        <f>IF(AB$5="Actual",SUMIFS(tbl_model_feed_final[net_arr_delta_gbp],tbl_model_feed_final[reporting_month_date],AB$4)/'02_Control'!$B$18,"")</f>
        <v>317787.96000000008</v>
      </c>
      <c r="AC13" s="29">
        <f>IF(AC$5="Actual",SUMIFS(tbl_model_feed_final[net_arr_delta_gbp],tbl_model_feed_final[reporting_month_date],AC$4)/'02_Control'!$B$18,"")</f>
        <v>110373.88</v>
      </c>
      <c r="AD13" s="29">
        <f>IF(AD$5="Actual",SUMIFS(tbl_model_feed_final[net_arr_delta_gbp],tbl_model_feed_final[reporting_month_date],AD$4)/'02_Control'!$B$18,"")</f>
        <v>163939.56000000003</v>
      </c>
      <c r="AE13" s="29">
        <f>IF(AE$5="Actual",SUMIFS(tbl_model_feed_final[net_arr_delta_gbp],tbl_model_feed_final[reporting_month_date],AE$4)/'02_Control'!$B$18,"")</f>
        <v>126647.99999999997</v>
      </c>
      <c r="AF13" s="29">
        <f>IF(AF$5="Actual",SUMIFS(tbl_model_feed_final[net_arr_delta_gbp],tbl_model_feed_final[reporting_month_date],AF$4)/'02_Control'!$B$18,"")</f>
        <v>161270.47999999998</v>
      </c>
      <c r="AG13" s="29">
        <f>IF(AG$5="Actual",SUMIFS(tbl_model_feed_final[net_arr_delta_gbp],tbl_model_feed_final[reporting_month_date],AG$4)/'02_Control'!$B$18,"")</f>
        <v>77724.599999999991</v>
      </c>
      <c r="AH13" s="29">
        <f>IF(AH$5="Actual",SUMIFS(tbl_model_feed_final[net_arr_delta_gbp],tbl_model_feed_final[reporting_month_date],AH$4)/'02_Control'!$B$18,"")</f>
        <v>49697.08</v>
      </c>
      <c r="AI13" s="29">
        <f>IF(AI$5="Actual",SUMIFS(tbl_model_feed_final[net_arr_delta_gbp],tbl_model_feed_final[reporting_month_date],AI$4)/'02_Control'!$B$18,"")</f>
        <v>90823.48</v>
      </c>
      <c r="AJ13" s="29">
        <f>IF(AJ$5="Actual",SUMIFS(tbl_model_feed_final[net_arr_delta_gbp],tbl_model_feed_final[reporting_month_date],AJ$4)/'02_Control'!$B$18,"")</f>
        <v>151248.12</v>
      </c>
      <c r="AK13" s="29">
        <f>IF(AK$5="Actual",SUMIFS(tbl_model_feed_final[net_arr_delta_gbp],tbl_model_feed_final[reporting_month_date],AK$4)/'02_Control'!$B$18,"")</f>
        <v>227056.12</v>
      </c>
      <c r="AL13" s="29">
        <f>IF(AL$5="Actual",SUMIFS(tbl_model_feed_final[net_arr_delta_gbp],tbl_model_feed_final[reporting_month_date],AL$4)/'02_Control'!$B$18,"")</f>
        <v>-111992.20000000003</v>
      </c>
      <c r="AM13" s="29">
        <f>IF(AM$5="Actual",SUMIFS(tbl_model_feed_final[net_arr_delta_gbp],tbl_model_feed_final[reporting_month_date],AM$4)/'02_Control'!$B$18,"")</f>
        <v>31214.559999999998</v>
      </c>
      <c r="AN13" s="29">
        <f>IF(AN$5="Actual",SUMIFS(tbl_model_feed_final[net_arr_delta_gbp],tbl_model_feed_final[reporting_month_date],AN$4)/'02_Control'!$B$18,"")</f>
        <v>-189428.4</v>
      </c>
      <c r="AO13" s="29">
        <f>IF(AO$5="Actual",SUMIFS(tbl_model_feed_final[net_arr_delta_gbp],tbl_model_feed_final[reporting_month_date],AO$4)/'02_Control'!$B$18,"")</f>
        <v>46013.999999999993</v>
      </c>
      <c r="AP13" s="29">
        <f>IF(AP$5="Actual",SUMIFS(tbl_model_feed_final[net_arr_delta_gbp],tbl_model_feed_final[reporting_month_date],AP$4)/'02_Control'!$B$18,"")</f>
        <v>-133406.60000000003</v>
      </c>
      <c r="AQ13" s="30">
        <f>IF(AQ$5="Actual",SUMIFS(tbl_model_feed_final[net_arr_delta_gbp],tbl_model_feed_final[reporting_month_date],AQ$4)/'02_Control'!$B$18,"")</f>
        <v>-1747089.04</v>
      </c>
      <c r="AR13" s="29">
        <f>IF(AR$5="Actual",SUMIFS(tbl_model_feed_final[net_arr_delta_gbp],tbl_model_feed_final[reporting_month_date],AR$4)/'02_Control'!$B$18,AR12-AQ12)</f>
        <v>607015.24560000002</v>
      </c>
      <c r="AS13" s="29">
        <f>IF(AS$5="Actual",SUMIFS(tbl_model_feed_final[net_arr_delta_gbp],tbl_model_feed_final[reporting_month_date],AS$4)/'02_Control'!$B$18,AS12-AR12)</f>
        <v>612478.38281039894</v>
      </c>
      <c r="AT13" s="29">
        <f>IF(AT$5="Actual",SUMIFS(tbl_model_feed_final[net_arr_delta_gbp],tbl_model_feed_final[reporting_month_date],AT$4)/'02_Control'!$B$18,AT12-AS12)</f>
        <v>617990.68825568259</v>
      </c>
      <c r="AU13" s="29">
        <f>IF(AU$5="Actual",SUMIFS(tbl_model_feed_final[net_arr_delta_gbp],tbl_model_feed_final[reporting_month_date],AU$4)/'02_Control'!$B$18,AU12-AT12)</f>
        <v>623552.60444998741</v>
      </c>
      <c r="AV13" s="29">
        <f>IF(AV$5="Actual",SUMIFS(tbl_model_feed_final[net_arr_delta_gbp],tbl_model_feed_final[reporting_month_date],AV$4)/'02_Control'!$B$18,AV12-AU12)</f>
        <v>629164.57789003849</v>
      </c>
      <c r="AW13" s="29">
        <f>IF(AW$5="Actual",SUMIFS(tbl_model_feed_final[net_arr_delta_gbp],tbl_model_feed_final[reporting_month_date],AW$4)/'02_Control'!$B$18,AW12-AV12)</f>
        <v>634827.05909104645</v>
      </c>
      <c r="AX13" s="29">
        <f>IF(AX$5="Actual",SUMIFS(tbl_model_feed_final[net_arr_delta_gbp],tbl_model_feed_final[reporting_month_date],AX$4)/'02_Control'!$B$18,AX12-AW12)</f>
        <v>640540.50262287259</v>
      </c>
      <c r="AY13" s="29">
        <f>IF(AY$5="Actual",SUMIFS(tbl_model_feed_final[net_arr_delta_gbp],tbl_model_feed_final[reporting_month_date],AY$4)/'02_Control'!$B$18,AY12-AX12)</f>
        <v>646305.3671464771</v>
      </c>
      <c r="AZ13" s="29">
        <f>IF(AZ$5="Actual",SUMIFS(tbl_model_feed_final[net_arr_delta_gbp],tbl_model_feed_final[reporting_month_date],AZ$4)/'02_Control'!$B$18,AZ12-AY12)</f>
        <v>652122.11545078456</v>
      </c>
      <c r="BA13" s="29">
        <f>IF(BA$5="Actual",SUMIFS(tbl_model_feed_final[net_arr_delta_gbp],tbl_model_feed_final[reporting_month_date],BA$4)/'02_Control'!$B$18,BA12-AZ12)</f>
        <v>657991.21448984742</v>
      </c>
      <c r="BB13" s="29">
        <f>IF(BB$5="Actual",SUMIFS(tbl_model_feed_final[net_arr_delta_gbp],tbl_model_feed_final[reporting_month_date],BB$4)/'02_Control'!$B$18,BB12-BA12)</f>
        <v>663913.13542026281</v>
      </c>
      <c r="BC13" s="29">
        <f>IF(BC$5="Actual",SUMIFS(tbl_model_feed_final[net_arr_delta_gbp],tbl_model_feed_final[reporting_month_date],BC$4)/'02_Control'!$B$18,BC12-BB12)</f>
        <v>669888.35363903642</v>
      </c>
      <c r="BD13" s="29">
        <f>IF(BD$5="Actual",SUMIFS(tbl_model_feed_final[net_arr_delta_gbp],tbl_model_feed_final[reporting_month_date],BD$4)/'02_Control'!$B$18,BD12-BC12)</f>
        <v>675917.34882178903</v>
      </c>
      <c r="BE13" s="29">
        <f>IF(BE$5="Actual",SUMIFS(tbl_model_feed_final[net_arr_delta_gbp],tbl_model_feed_final[reporting_month_date],BE$4)/'02_Control'!$B$18,BE12-BD12)</f>
        <v>682000.60496118665</v>
      </c>
      <c r="BF13" s="29">
        <f>IF(BF$5="Actual",SUMIFS(tbl_model_feed_final[net_arr_delta_gbp],tbl_model_feed_final[reporting_month_date],BF$4)/'02_Control'!$B$18,BF12-BE12)</f>
        <v>688138.61040583253</v>
      </c>
      <c r="BG13" s="29">
        <f>IF(BG$5="Actual",SUMIFS(tbl_model_feed_final[net_arr_delta_gbp],tbl_model_feed_final[reporting_month_date],BG$4)/'02_Control'!$B$18,BG12-BF12)</f>
        <v>694331.85789948702</v>
      </c>
      <c r="BH13" s="29">
        <f>IF(BH$5="Actual",SUMIFS(tbl_model_feed_final[net_arr_delta_gbp],tbl_model_feed_final[reporting_month_date],BH$4)/'02_Control'!$B$18,BH12-BG12)</f>
        <v>700580.84462058544</v>
      </c>
      <c r="BI13" s="29">
        <f>IF(BI$5="Actual",SUMIFS(tbl_model_feed_final[net_arr_delta_gbp],tbl_model_feed_final[reporting_month_date],BI$4)/'02_Control'!$B$18,BI12-BH12)</f>
        <v>706886.07222217321</v>
      </c>
      <c r="BJ13" s="29">
        <f>IF(BJ$5="Actual",SUMIFS(tbl_model_feed_final[net_arr_delta_gbp],tbl_model_feed_final[reporting_month_date],BJ$4)/'02_Control'!$B$18,BJ12-BI12)</f>
        <v>713248.04687216878</v>
      </c>
      <c r="BK13" s="29">
        <f>IF(BK$5="Actual",SUMIFS(tbl_model_feed_final[net_arr_delta_gbp],tbl_model_feed_final[reporting_month_date],BK$4)/'02_Control'!$B$18,BK12-BJ12)</f>
        <v>719667.27929401398</v>
      </c>
      <c r="BL13" s="29">
        <f>IF(BL$5="Actual",SUMIFS(tbl_model_feed_final[net_arr_delta_gbp],tbl_model_feed_final[reporting_month_date],BL$4)/'02_Control'!$B$18,BL12-BK12)</f>
        <v>726144.28480766714</v>
      </c>
      <c r="BM13" s="29">
        <f>IF(BM$5="Actual",SUMIFS(tbl_model_feed_final[net_arr_delta_gbp],tbl_model_feed_final[reporting_month_date],BM$4)/'02_Control'!$B$18,BM12-BL12)</f>
        <v>732679.5833709389</v>
      </c>
      <c r="BN13" s="29">
        <f>IF(BN$5="Actual",SUMIFS(tbl_model_feed_final[net_arr_delta_gbp],tbl_model_feed_final[reporting_month_date],BN$4)/'02_Control'!$B$18,BN12-BM12)</f>
        <v>739273.69962127507</v>
      </c>
      <c r="BO13" s="29">
        <f>IF(BO$5="Actual",SUMIFS(tbl_model_feed_final[net_arr_delta_gbp],tbl_model_feed_final[reporting_month_date],BO$4)/'02_Control'!$B$18,BO12-BN12)</f>
        <v>745927.1629178673</v>
      </c>
      <c r="BP13" s="29">
        <f>IF(BP$5="Actual",SUMIFS(tbl_model_feed_final[net_arr_delta_gbp],tbl_model_feed_final[reporting_month_date],BP$4)/'02_Control'!$B$18,BP12-BO12)</f>
        <v>752640.50738412142</v>
      </c>
      <c r="BQ13" s="29">
        <f>IF(BQ$5="Actual",SUMIFS(tbl_model_feed_final[net_arr_delta_gbp],tbl_model_feed_final[reporting_month_date],BQ$4)/'02_Control'!$B$18,BQ12-BP12)</f>
        <v>759414.27195058763</v>
      </c>
      <c r="BR13" s="29">
        <f>IF(BR$5="Actual",SUMIFS(tbl_model_feed_final[net_arr_delta_gbp],tbl_model_feed_final[reporting_month_date],BR$4)/'02_Control'!$B$18,BR12-BQ12)</f>
        <v>766249.00039812922</v>
      </c>
      <c r="BS13" s="29">
        <f>IF(BS$5="Actual",SUMIFS(tbl_model_feed_final[net_arr_delta_gbp],tbl_model_feed_final[reporting_month_date],BS$4)/'02_Control'!$B$18,BS12-BR12)</f>
        <v>773145.24140171707</v>
      </c>
      <c r="BT13" s="29">
        <f>IF(BT$5="Actual",SUMIFS(tbl_model_feed_final[net_arr_delta_gbp],tbl_model_feed_final[reporting_month_date],BT$4)/'02_Control'!$B$18,BT12-BS12)</f>
        <v>780103.54857432842</v>
      </c>
      <c r="BU13" s="29">
        <f>IF(BU$5="Actual",SUMIFS(tbl_model_feed_final[net_arr_delta_gbp],tbl_model_feed_final[reporting_month_date],BU$4)/'02_Control'!$B$18,BU12-BT12)</f>
        <v>787124.48051150143</v>
      </c>
      <c r="BV13" s="29">
        <f>IF(BV$5="Actual",SUMIFS(tbl_model_feed_final[net_arr_delta_gbp],tbl_model_feed_final[reporting_month_date],BV$4)/'02_Control'!$B$18,BV12-BU12)</f>
        <v>794208.6008361131</v>
      </c>
      <c r="BW13" s="29">
        <f>IF(BW$5="Actual",SUMIFS(tbl_model_feed_final[net_arr_delta_gbp],tbl_model_feed_final[reporting_month_date],BW$4)/'02_Control'!$B$18,BW12-BV12)</f>
        <v>801356.4782436341</v>
      </c>
      <c r="BX13" s="29">
        <f>IF(BX$5="Actual",SUMIFS(tbl_model_feed_final[net_arr_delta_gbp],tbl_model_feed_final[reporting_month_date],BX$4)/'02_Control'!$B$18,BX12-BW12)</f>
        <v>808568.6865478307</v>
      </c>
      <c r="BY13" s="29">
        <f>IF(BY$5="Actual",SUMIFS(tbl_model_feed_final[net_arr_delta_gbp],tbl_model_feed_final[reporting_month_date],BY$4)/'02_Control'!$B$18,BY12-BX12)</f>
        <v>815845.80472674966</v>
      </c>
      <c r="BZ13" s="29">
        <f>IF(BZ$5="Actual",SUMIFS(tbl_model_feed_final[net_arr_delta_gbp],tbl_model_feed_final[reporting_month_date],BZ$4)/'02_Control'!$B$18,BZ12-BY12)</f>
        <v>823188.41696929932</v>
      </c>
      <c r="CA13" s="29">
        <f>IF(CA$5="Actual",SUMIFS(tbl_model_feed_final[net_arr_delta_gbp],tbl_model_feed_final[reporting_month_date],CA$4)/'02_Control'!$B$18,CA12-BZ12)</f>
        <v>830597.11272202432</v>
      </c>
      <c r="CB13" s="29">
        <f>IF(CB$5="Actual",SUMIFS(tbl_model_feed_final[net_arr_delta_gbp],tbl_model_feed_final[reporting_month_date],CB$4)/'02_Control'!$B$18,CB12-CA12)</f>
        <v>838072.48673652112</v>
      </c>
      <c r="CC13" s="29">
        <f>IF(CC$5="Actual",SUMIFS(tbl_model_feed_final[net_arr_delta_gbp],tbl_model_feed_final[reporting_month_date],CC$4)/'02_Control'!$B$18,CC12-CB12)</f>
        <v>845615.1391171515</v>
      </c>
      <c r="CD13" s="29">
        <f>IF(CD$5="Actual",SUMIFS(tbl_model_feed_final[net_arr_delta_gbp],tbl_model_feed_final[reporting_month_date],CD$4)/'02_Control'!$B$18,CD12-CC12)</f>
        <v>853225.67536920309</v>
      </c>
      <c r="CE13" s="29">
        <f>IF(CE$5="Actual",SUMIFS(tbl_model_feed_final[net_arr_delta_gbp],tbl_model_feed_final[reporting_month_date],CE$4)/'02_Control'!$B$18,CE12-CD12)</f>
        <v>860904.70644752681</v>
      </c>
      <c r="CF13" s="29">
        <f>IF(CF$5="Actual",SUMIFS(tbl_model_feed_final[net_arr_delta_gbp],tbl_model_feed_final[reporting_month_date],CF$4)/'02_Control'!$B$18,CF12-CE12)</f>
        <v>868652.84880554676</v>
      </c>
      <c r="CG13" s="29">
        <f>IF(CG$5="Actual",SUMIFS(tbl_model_feed_final[net_arr_delta_gbp],tbl_model_feed_final[reporting_month_date],CG$4)/'02_Control'!$B$18,CG12-CF12)</f>
        <v>876470.72444480658</v>
      </c>
    </row>
    <row r="14" spans="1:85" x14ac:dyDescent="0.3">
      <c r="A14" s="26" t="s">
        <v>131</v>
      </c>
      <c r="B14" s="31">
        <f>IF(B$5="Actual",SUMIFS(tbl_model_feed_final[gross_revenue_retention_rate],tbl_model_feed_final[reporting_month_date],B$4),"")</f>
        <v>0.9995258836068861</v>
      </c>
      <c r="C14" s="31">
        <f>IF(C$5="Actual",SUMIFS(tbl_model_feed_final[gross_revenue_retention_rate],tbl_model_feed_final[reporting_month_date],C$4),"")</f>
        <v>0.99924324233406125</v>
      </c>
      <c r="D14" s="31">
        <f>IF(D$5="Actual",SUMIFS(tbl_model_feed_final[gross_revenue_retention_rate],tbl_model_feed_final[reporting_month_date],D$4),"")</f>
        <v>0.99959152016655406</v>
      </c>
      <c r="E14" s="31">
        <f>IF(E$5="Actual",SUMIFS(tbl_model_feed_final[gross_revenue_retention_rate],tbl_model_feed_final[reporting_month_date],E$4),"")</f>
        <v>0.99979640015023341</v>
      </c>
      <c r="F14" s="31">
        <f>IF(F$5="Actual",SUMIFS(tbl_model_feed_final[gross_revenue_retention_rate],tbl_model_feed_final[reporting_month_date],F$4),"")</f>
        <v>0.99999376952923924</v>
      </c>
      <c r="G14" s="31">
        <f>IF(G$5="Actual",SUMIFS(tbl_model_feed_final[gross_revenue_retention_rate],tbl_model_feed_final[reporting_month_date],G$4),"")</f>
        <v>0.99963440973530848</v>
      </c>
      <c r="H14" s="31">
        <f>IF(H$5="Actual",SUMIFS(tbl_model_feed_final[gross_revenue_retention_rate],tbl_model_feed_final[reporting_month_date],H$4),"")</f>
        <v>1.0001119287687892</v>
      </c>
      <c r="I14" s="31">
        <f>IF(I$5="Actual",SUMIFS(tbl_model_feed_final[gross_revenue_retention_rate],tbl_model_feed_final[reporting_month_date],I$4),"")</f>
        <v>0.99865599532961269</v>
      </c>
      <c r="J14" s="31">
        <f>IF(J$5="Actual",SUMIFS(tbl_model_feed_final[gross_revenue_retention_rate],tbl_model_feed_final[reporting_month_date],J$4),"")</f>
        <v>0.99968650559766759</v>
      </c>
      <c r="K14" s="31">
        <f>IF(K$5="Actual",SUMIFS(tbl_model_feed_final[gross_revenue_retention_rate],tbl_model_feed_final[reporting_month_date],K$4),"")</f>
        <v>0.99954441295441998</v>
      </c>
      <c r="L14" s="31">
        <f>IF(L$5="Actual",SUMIFS(tbl_model_feed_final[gross_revenue_retention_rate],tbl_model_feed_final[reporting_month_date],L$4),"")</f>
        <v>0.99992906241252366</v>
      </c>
      <c r="M14" s="31">
        <f>IF(M$5="Actual",SUMIFS(tbl_model_feed_final[gross_revenue_retention_rate],tbl_model_feed_final[reporting_month_date],M$4),"")</f>
        <v>0.99858997207100264</v>
      </c>
      <c r="N14" s="31">
        <f>IF(N$5="Actual",SUMIFS(tbl_model_feed_final[gross_revenue_retention_rate],tbl_model_feed_final[reporting_month_date],N$4),"")</f>
        <v>0.99965099884373998</v>
      </c>
      <c r="O14" s="31">
        <f>IF(O$5="Actual",SUMIFS(tbl_model_feed_final[gross_revenue_retention_rate],tbl_model_feed_final[reporting_month_date],O$4),"")</f>
        <v>0.99889482226738646</v>
      </c>
      <c r="P14" s="31">
        <f>IF(P$5="Actual",SUMIFS(tbl_model_feed_final[gross_revenue_retention_rate],tbl_model_feed_final[reporting_month_date],P$4),"")</f>
        <v>1.0001008223113419</v>
      </c>
      <c r="Q14" s="31">
        <f>IF(Q$5="Actual",SUMIFS(tbl_model_feed_final[gross_revenue_retention_rate],tbl_model_feed_final[reporting_month_date],Q$4),"")</f>
        <v>0.99818446167031638</v>
      </c>
      <c r="R14" s="31">
        <f>IF(R$5="Actual",SUMIFS(tbl_model_feed_final[gross_revenue_retention_rate],tbl_model_feed_final[reporting_month_date],R$4),"")</f>
        <v>0.99639022488952611</v>
      </c>
      <c r="S14" s="31">
        <f>IF(S$5="Actual",SUMIFS(tbl_model_feed_final[gross_revenue_retention_rate],tbl_model_feed_final[reporting_month_date],S$4),"")</f>
        <v>0.99960298824257987</v>
      </c>
      <c r="T14" s="31">
        <f>IF(T$5="Actual",SUMIFS(tbl_model_feed_final[gross_revenue_retention_rate],tbl_model_feed_final[reporting_month_date],T$4),"")</f>
        <v>0.99956517072214268</v>
      </c>
      <c r="U14" s="31">
        <f>IF(U$5="Actual",SUMIFS(tbl_model_feed_final[gross_revenue_retention_rate],tbl_model_feed_final[reporting_month_date],U$4),"")</f>
        <v>0.99930994287202379</v>
      </c>
      <c r="V14" s="31">
        <f>IF(V$5="Actual",SUMIFS(tbl_model_feed_final[gross_revenue_retention_rate],tbl_model_feed_final[reporting_month_date],V$4),"")</f>
        <v>0.99822432647026604</v>
      </c>
      <c r="W14" s="31">
        <f>IF(W$5="Actual",SUMIFS(tbl_model_feed_final[gross_revenue_retention_rate],tbl_model_feed_final[reporting_month_date],W$4),"")</f>
        <v>0.99933445588236824</v>
      </c>
      <c r="X14" s="31">
        <f>IF(X$5="Actual",SUMIFS(tbl_model_feed_final[gross_revenue_retention_rate],tbl_model_feed_final[reporting_month_date],X$4),"")</f>
        <v>0.9994993990532699</v>
      </c>
      <c r="Y14" s="31">
        <f>IF(Y$5="Actual",SUMIFS(tbl_model_feed_final[gross_revenue_retention_rate],tbl_model_feed_final[reporting_month_date],Y$4),"")</f>
        <v>0.99912821217280812</v>
      </c>
      <c r="Z14" s="31">
        <f>IF(Z$5="Actual",SUMIFS(tbl_model_feed_final[gross_revenue_retention_rate],tbl_model_feed_final[reporting_month_date],Z$4),"")</f>
        <v>0.99984367740672853</v>
      </c>
      <c r="AA14" s="31">
        <f>IF(AA$5="Actual",SUMIFS(tbl_model_feed_final[gross_revenue_retention_rate],tbl_model_feed_final[reporting_month_date],AA$4),"")</f>
        <v>0.99985978942833642</v>
      </c>
      <c r="AB14" s="31">
        <f>IF(AB$5="Actual",SUMIFS(tbl_model_feed_final[gross_revenue_retention_rate],tbl_model_feed_final[reporting_month_date],AB$4),"")</f>
        <v>0.99896991812036473</v>
      </c>
      <c r="AC14" s="31">
        <f>IF(AC$5="Actual",SUMIFS(tbl_model_feed_final[gross_revenue_retention_rate],tbl_model_feed_final[reporting_month_date],AC$4),"")</f>
        <v>0.99720226131083933</v>
      </c>
      <c r="AD14" s="31">
        <f>IF(AD$5="Actual",SUMIFS(tbl_model_feed_final[gross_revenue_retention_rate],tbl_model_feed_final[reporting_month_date],AD$4),"")</f>
        <v>0.99927363442534056</v>
      </c>
      <c r="AE14" s="31">
        <f>IF(AE$5="Actual",SUMIFS(tbl_model_feed_final[gross_revenue_retention_rate],tbl_model_feed_final[reporting_month_date],AE$4),"")</f>
        <v>0.99882440768284941</v>
      </c>
      <c r="AF14" s="31">
        <f>IF(AF$5="Actual",SUMIFS(tbl_model_feed_final[gross_revenue_retention_rate],tbl_model_feed_final[reporting_month_date],AF$4),"")</f>
        <v>0.99919830191403336</v>
      </c>
      <c r="AG14" s="31">
        <f>IF(AG$5="Actual",SUMIFS(tbl_model_feed_final[gross_revenue_retention_rate],tbl_model_feed_final[reporting_month_date],AG$4),"")</f>
        <v>0.99905359193329046</v>
      </c>
      <c r="AH14" s="31">
        <f>IF(AH$5="Actual",SUMIFS(tbl_model_feed_final[gross_revenue_retention_rate],tbl_model_feed_final[reporting_month_date],AH$4),"")</f>
        <v>0.99906634896522439</v>
      </c>
      <c r="AI14" s="31">
        <f>IF(AI$5="Actual",SUMIFS(tbl_model_feed_final[gross_revenue_retention_rate],tbl_model_feed_final[reporting_month_date],AI$4),"")</f>
        <v>0.99860550275066429</v>
      </c>
      <c r="AJ14" s="31">
        <f>IF(AJ$5="Actual",SUMIFS(tbl_model_feed_final[gross_revenue_retention_rate],tbl_model_feed_final[reporting_month_date],AJ$4),"")</f>
        <v>0.9994403779174178</v>
      </c>
      <c r="AK14" s="31">
        <f>IF(AK$5="Actual",SUMIFS(tbl_model_feed_final[gross_revenue_retention_rate],tbl_model_feed_final[reporting_month_date],AK$4),"")</f>
        <v>0.99927483293527131</v>
      </c>
      <c r="AL14" s="31">
        <f>IF(AL$5="Actual",SUMIFS(tbl_model_feed_final[gross_revenue_retention_rate],tbl_model_feed_final[reporting_month_date],AL$4),"")</f>
        <v>0.99743665826584671</v>
      </c>
      <c r="AM14" s="31">
        <f>IF(AM$5="Actual",SUMIFS(tbl_model_feed_final[gross_revenue_retention_rate],tbl_model_feed_final[reporting_month_date],AM$4),"")</f>
        <v>1.0000582520908174</v>
      </c>
      <c r="AN14" s="31">
        <f>IF(AN$5="Actual",SUMIFS(tbl_model_feed_final[gross_revenue_retention_rate],tbl_model_feed_final[reporting_month_date],AN$4),"")</f>
        <v>0.99700565309290901</v>
      </c>
      <c r="AO14" s="31">
        <f>IF(AO$5="Actual",SUMIFS(tbl_model_feed_final[gross_revenue_retention_rate],tbl_model_feed_final[reporting_month_date],AO$4),"")</f>
        <v>0.9999456884340151</v>
      </c>
      <c r="AP14" s="31">
        <f>IF(AP$5="Actual",SUMIFS(tbl_model_feed_final[gross_revenue_retention_rate],tbl_model_feed_final[reporting_month_date],AP$4),"")</f>
        <v>0.9981089372212143</v>
      </c>
      <c r="AQ14" s="32">
        <f>IF(AQ$5="Actual",SUMIFS(tbl_model_feed_final[gross_revenue_retention_rate],tbl_model_feed_final[reporting_month_date],AQ$4),"")</f>
        <v>0.97534476986894625</v>
      </c>
      <c r="AR14" s="31">
        <f>IF(AR$5="Actual",SUMIFS(tbl_model_feed_final[gross_revenue_retention_rate],tbl_model_feed_final[reporting_month_date],AR$4),_xlfn.XLOOKUP("GRR",tbl_assumptions[Driver],tbl_assumptions[Selected Scenario]))</f>
        <v>0.91</v>
      </c>
      <c r="AS14" s="31">
        <f>IF(AS$5="Actual",SUMIFS(tbl_model_feed_final[gross_revenue_retention_rate],tbl_model_feed_final[reporting_month_date],AS$4),_xlfn.XLOOKUP("GRR",tbl_assumptions[Driver],tbl_assumptions[Selected Scenario]))</f>
        <v>0.91</v>
      </c>
      <c r="AT14" s="31">
        <f>IF(AT$5="Actual",SUMIFS(tbl_model_feed_final[gross_revenue_retention_rate],tbl_model_feed_final[reporting_month_date],AT$4),_xlfn.XLOOKUP("GRR",tbl_assumptions[Driver],tbl_assumptions[Selected Scenario]))</f>
        <v>0.91</v>
      </c>
      <c r="AU14" s="31">
        <f>IF(AU$5="Actual",SUMIFS(tbl_model_feed_final[gross_revenue_retention_rate],tbl_model_feed_final[reporting_month_date],AU$4),_xlfn.XLOOKUP("GRR",tbl_assumptions[Driver],tbl_assumptions[Selected Scenario]))</f>
        <v>0.91</v>
      </c>
      <c r="AV14" s="31">
        <f>IF(AV$5="Actual",SUMIFS(tbl_model_feed_final[gross_revenue_retention_rate],tbl_model_feed_final[reporting_month_date],AV$4),_xlfn.XLOOKUP("GRR",tbl_assumptions[Driver],tbl_assumptions[Selected Scenario]))</f>
        <v>0.91</v>
      </c>
      <c r="AW14" s="31">
        <f>IF(AW$5="Actual",SUMIFS(tbl_model_feed_final[gross_revenue_retention_rate],tbl_model_feed_final[reporting_month_date],AW$4),_xlfn.XLOOKUP("GRR",tbl_assumptions[Driver],tbl_assumptions[Selected Scenario]))</f>
        <v>0.91</v>
      </c>
      <c r="AX14" s="31">
        <f>IF(AX$5="Actual",SUMIFS(tbl_model_feed_final[gross_revenue_retention_rate],tbl_model_feed_final[reporting_month_date],AX$4),_xlfn.XLOOKUP("GRR",tbl_assumptions[Driver],tbl_assumptions[Selected Scenario]))</f>
        <v>0.91</v>
      </c>
      <c r="AY14" s="31">
        <f>IF(AY$5="Actual",SUMIFS(tbl_model_feed_final[gross_revenue_retention_rate],tbl_model_feed_final[reporting_month_date],AY$4),_xlfn.XLOOKUP("GRR",tbl_assumptions[Driver],tbl_assumptions[Selected Scenario]))</f>
        <v>0.91</v>
      </c>
      <c r="AZ14" s="31">
        <f>IF(AZ$5="Actual",SUMIFS(tbl_model_feed_final[gross_revenue_retention_rate],tbl_model_feed_final[reporting_month_date],AZ$4),_xlfn.XLOOKUP("GRR",tbl_assumptions[Driver],tbl_assumptions[Selected Scenario]))</f>
        <v>0.91</v>
      </c>
      <c r="BA14" s="31">
        <f>IF(BA$5="Actual",SUMIFS(tbl_model_feed_final[gross_revenue_retention_rate],tbl_model_feed_final[reporting_month_date],BA$4),_xlfn.XLOOKUP("GRR",tbl_assumptions[Driver],tbl_assumptions[Selected Scenario]))</f>
        <v>0.91</v>
      </c>
      <c r="BB14" s="31">
        <f>IF(BB$5="Actual",SUMIFS(tbl_model_feed_final[gross_revenue_retention_rate],tbl_model_feed_final[reporting_month_date],BB$4),_xlfn.XLOOKUP("GRR",tbl_assumptions[Driver],tbl_assumptions[Selected Scenario]))</f>
        <v>0.91</v>
      </c>
      <c r="BC14" s="31">
        <f>IF(BC$5="Actual",SUMIFS(tbl_model_feed_final[gross_revenue_retention_rate],tbl_model_feed_final[reporting_month_date],BC$4),_xlfn.XLOOKUP("GRR",tbl_assumptions[Driver],tbl_assumptions[Selected Scenario]))</f>
        <v>0.91</v>
      </c>
      <c r="BD14" s="31">
        <f>IF(BD$5="Actual",SUMIFS(tbl_model_feed_final[gross_revenue_retention_rate],tbl_model_feed_final[reporting_month_date],BD$4),_xlfn.XLOOKUP("GRR",tbl_assumptions[Driver],tbl_assumptions[Selected Scenario]))</f>
        <v>0.91</v>
      </c>
      <c r="BE14" s="31">
        <f>IF(BE$5="Actual",SUMIFS(tbl_model_feed_final[gross_revenue_retention_rate],tbl_model_feed_final[reporting_month_date],BE$4),_xlfn.XLOOKUP("GRR",tbl_assumptions[Driver],tbl_assumptions[Selected Scenario]))</f>
        <v>0.91</v>
      </c>
      <c r="BF14" s="31">
        <f>IF(BF$5="Actual",SUMIFS(tbl_model_feed_final[gross_revenue_retention_rate],tbl_model_feed_final[reporting_month_date],BF$4),_xlfn.XLOOKUP("GRR",tbl_assumptions[Driver],tbl_assumptions[Selected Scenario]))</f>
        <v>0.91</v>
      </c>
      <c r="BG14" s="31">
        <f>IF(BG$5="Actual",SUMIFS(tbl_model_feed_final[gross_revenue_retention_rate],tbl_model_feed_final[reporting_month_date],BG$4),_xlfn.XLOOKUP("GRR",tbl_assumptions[Driver],tbl_assumptions[Selected Scenario]))</f>
        <v>0.91</v>
      </c>
      <c r="BH14" s="31">
        <f>IF(BH$5="Actual",SUMIFS(tbl_model_feed_final[gross_revenue_retention_rate],tbl_model_feed_final[reporting_month_date],BH$4),_xlfn.XLOOKUP("GRR",tbl_assumptions[Driver],tbl_assumptions[Selected Scenario]))</f>
        <v>0.91</v>
      </c>
      <c r="BI14" s="31">
        <f>IF(BI$5="Actual",SUMIFS(tbl_model_feed_final[gross_revenue_retention_rate],tbl_model_feed_final[reporting_month_date],BI$4),_xlfn.XLOOKUP("GRR",tbl_assumptions[Driver],tbl_assumptions[Selected Scenario]))</f>
        <v>0.91</v>
      </c>
      <c r="BJ14" s="31">
        <f>IF(BJ$5="Actual",SUMIFS(tbl_model_feed_final[gross_revenue_retention_rate],tbl_model_feed_final[reporting_month_date],BJ$4),_xlfn.XLOOKUP("GRR",tbl_assumptions[Driver],tbl_assumptions[Selected Scenario]))</f>
        <v>0.91</v>
      </c>
      <c r="BK14" s="31">
        <f>IF(BK$5="Actual",SUMIFS(tbl_model_feed_final[gross_revenue_retention_rate],tbl_model_feed_final[reporting_month_date],BK$4),_xlfn.XLOOKUP("GRR",tbl_assumptions[Driver],tbl_assumptions[Selected Scenario]))</f>
        <v>0.91</v>
      </c>
      <c r="BL14" s="31">
        <f>IF(BL$5="Actual",SUMIFS(tbl_model_feed_final[gross_revenue_retention_rate],tbl_model_feed_final[reporting_month_date],BL$4),_xlfn.XLOOKUP("GRR",tbl_assumptions[Driver],tbl_assumptions[Selected Scenario]))</f>
        <v>0.91</v>
      </c>
      <c r="BM14" s="31">
        <f>IF(BM$5="Actual",SUMIFS(tbl_model_feed_final[gross_revenue_retention_rate],tbl_model_feed_final[reporting_month_date],BM$4),_xlfn.XLOOKUP("GRR",tbl_assumptions[Driver],tbl_assumptions[Selected Scenario]))</f>
        <v>0.91</v>
      </c>
      <c r="BN14" s="31">
        <f>IF(BN$5="Actual",SUMIFS(tbl_model_feed_final[gross_revenue_retention_rate],tbl_model_feed_final[reporting_month_date],BN$4),_xlfn.XLOOKUP("GRR",tbl_assumptions[Driver],tbl_assumptions[Selected Scenario]))</f>
        <v>0.91</v>
      </c>
      <c r="BO14" s="31">
        <f>IF(BO$5="Actual",SUMIFS(tbl_model_feed_final[gross_revenue_retention_rate],tbl_model_feed_final[reporting_month_date],BO$4),_xlfn.XLOOKUP("GRR",tbl_assumptions[Driver],tbl_assumptions[Selected Scenario]))</f>
        <v>0.91</v>
      </c>
      <c r="BP14" s="31">
        <f>IF(BP$5="Actual",SUMIFS(tbl_model_feed_final[gross_revenue_retention_rate],tbl_model_feed_final[reporting_month_date],BP$4),_xlfn.XLOOKUP("GRR",tbl_assumptions[Driver],tbl_assumptions[Selected Scenario]))</f>
        <v>0.91</v>
      </c>
      <c r="BQ14" s="31">
        <f>IF(BQ$5="Actual",SUMIFS(tbl_model_feed_final[gross_revenue_retention_rate],tbl_model_feed_final[reporting_month_date],BQ$4),_xlfn.XLOOKUP("GRR",tbl_assumptions[Driver],tbl_assumptions[Selected Scenario]))</f>
        <v>0.91</v>
      </c>
      <c r="BR14" s="31">
        <f>IF(BR$5="Actual",SUMIFS(tbl_model_feed_final[gross_revenue_retention_rate],tbl_model_feed_final[reporting_month_date],BR$4),_xlfn.XLOOKUP("GRR",tbl_assumptions[Driver],tbl_assumptions[Selected Scenario]))</f>
        <v>0.91</v>
      </c>
      <c r="BS14" s="31">
        <f>IF(BS$5="Actual",SUMIFS(tbl_model_feed_final[gross_revenue_retention_rate],tbl_model_feed_final[reporting_month_date],BS$4),_xlfn.XLOOKUP("GRR",tbl_assumptions[Driver],tbl_assumptions[Selected Scenario]))</f>
        <v>0.91</v>
      </c>
      <c r="BT14" s="31">
        <f>IF(BT$5="Actual",SUMIFS(tbl_model_feed_final[gross_revenue_retention_rate],tbl_model_feed_final[reporting_month_date],BT$4),_xlfn.XLOOKUP("GRR",tbl_assumptions[Driver],tbl_assumptions[Selected Scenario]))</f>
        <v>0.91</v>
      </c>
      <c r="BU14" s="31">
        <f>IF(BU$5="Actual",SUMIFS(tbl_model_feed_final[gross_revenue_retention_rate],tbl_model_feed_final[reporting_month_date],BU$4),_xlfn.XLOOKUP("GRR",tbl_assumptions[Driver],tbl_assumptions[Selected Scenario]))</f>
        <v>0.91</v>
      </c>
      <c r="BV14" s="31">
        <f>IF(BV$5="Actual",SUMIFS(tbl_model_feed_final[gross_revenue_retention_rate],tbl_model_feed_final[reporting_month_date],BV$4),_xlfn.XLOOKUP("GRR",tbl_assumptions[Driver],tbl_assumptions[Selected Scenario]))</f>
        <v>0.91</v>
      </c>
      <c r="BW14" s="31">
        <f>IF(BW$5="Actual",SUMIFS(tbl_model_feed_final[gross_revenue_retention_rate],tbl_model_feed_final[reporting_month_date],BW$4),_xlfn.XLOOKUP("GRR",tbl_assumptions[Driver],tbl_assumptions[Selected Scenario]))</f>
        <v>0.91</v>
      </c>
      <c r="BX14" s="31">
        <f>IF(BX$5="Actual",SUMIFS(tbl_model_feed_final[gross_revenue_retention_rate],tbl_model_feed_final[reporting_month_date],BX$4),_xlfn.XLOOKUP("GRR",tbl_assumptions[Driver],tbl_assumptions[Selected Scenario]))</f>
        <v>0.91</v>
      </c>
      <c r="BY14" s="31">
        <f>IF(BY$5="Actual",SUMIFS(tbl_model_feed_final[gross_revenue_retention_rate],tbl_model_feed_final[reporting_month_date],BY$4),_xlfn.XLOOKUP("GRR",tbl_assumptions[Driver],tbl_assumptions[Selected Scenario]))</f>
        <v>0.91</v>
      </c>
      <c r="BZ14" s="31">
        <f>IF(BZ$5="Actual",SUMIFS(tbl_model_feed_final[gross_revenue_retention_rate],tbl_model_feed_final[reporting_month_date],BZ$4),_xlfn.XLOOKUP("GRR",tbl_assumptions[Driver],tbl_assumptions[Selected Scenario]))</f>
        <v>0.91</v>
      </c>
      <c r="CA14" s="31">
        <f>IF(CA$5="Actual",SUMIFS(tbl_model_feed_final[gross_revenue_retention_rate],tbl_model_feed_final[reporting_month_date],CA$4),_xlfn.XLOOKUP("GRR",tbl_assumptions[Driver],tbl_assumptions[Selected Scenario]))</f>
        <v>0.91</v>
      </c>
      <c r="CB14" s="31">
        <f>IF(CB$5="Actual",SUMIFS(tbl_model_feed_final[gross_revenue_retention_rate],tbl_model_feed_final[reporting_month_date],CB$4),_xlfn.XLOOKUP("GRR",tbl_assumptions[Driver],tbl_assumptions[Selected Scenario]))</f>
        <v>0.91</v>
      </c>
      <c r="CC14" s="31">
        <f>IF(CC$5="Actual",SUMIFS(tbl_model_feed_final[gross_revenue_retention_rate],tbl_model_feed_final[reporting_month_date],CC$4),_xlfn.XLOOKUP("GRR",tbl_assumptions[Driver],tbl_assumptions[Selected Scenario]))</f>
        <v>0.91</v>
      </c>
      <c r="CD14" s="31">
        <f>IF(CD$5="Actual",SUMIFS(tbl_model_feed_final[gross_revenue_retention_rate],tbl_model_feed_final[reporting_month_date],CD$4),_xlfn.XLOOKUP("GRR",tbl_assumptions[Driver],tbl_assumptions[Selected Scenario]))</f>
        <v>0.91</v>
      </c>
      <c r="CE14" s="31">
        <f>IF(CE$5="Actual",SUMIFS(tbl_model_feed_final[gross_revenue_retention_rate],tbl_model_feed_final[reporting_month_date],CE$4),_xlfn.XLOOKUP("GRR",tbl_assumptions[Driver],tbl_assumptions[Selected Scenario]))</f>
        <v>0.91</v>
      </c>
      <c r="CF14" s="31">
        <f>IF(CF$5="Actual",SUMIFS(tbl_model_feed_final[gross_revenue_retention_rate],tbl_model_feed_final[reporting_month_date],CF$4),_xlfn.XLOOKUP("GRR",tbl_assumptions[Driver],tbl_assumptions[Selected Scenario]))</f>
        <v>0.91</v>
      </c>
      <c r="CG14" s="31">
        <f>IF(CG$5="Actual",SUMIFS(tbl_model_feed_final[gross_revenue_retention_rate],tbl_model_feed_final[reporting_month_date],CG$4),_xlfn.XLOOKUP("GRR",tbl_assumptions[Driver],tbl_assumptions[Selected Scenario]))</f>
        <v>0.91</v>
      </c>
    </row>
    <row r="15" spans="1:85" x14ac:dyDescent="0.3">
      <c r="A15" s="26" t="s">
        <v>132</v>
      </c>
      <c r="B15" s="33">
        <f>IF(B$5="Actual",SUMIFS(tbl_model_feed_final[net_revenue_retention_rate],tbl_model_feed_final[reporting_month_date],B$4),"")</f>
        <v>1.0001134905075484</v>
      </c>
      <c r="C15" s="33">
        <f>IF(C$5="Actual",SUMIFS(tbl_model_feed_final[net_revenue_retention_rate],tbl_model_feed_final[reporting_month_date],C$4),"")</f>
        <v>0.99987678635871302</v>
      </c>
      <c r="D15" s="33">
        <f>IF(D$5="Actual",SUMIFS(tbl_model_feed_final[net_revenue_retention_rate],tbl_model_feed_final[reporting_month_date],D$4),"")</f>
        <v>0.99986556730187259</v>
      </c>
      <c r="E15" s="33">
        <f>IF(E$5="Actual",SUMIFS(tbl_model_feed_final[net_revenue_retention_rate],tbl_model_feed_final[reporting_month_date],E$4),"")</f>
        <v>0.99980399856482416</v>
      </c>
      <c r="F15" s="33">
        <f>IF(F$5="Actual",SUMIFS(tbl_model_feed_final[net_revenue_retention_rate],tbl_model_feed_final[reporting_month_date],F$4),"")</f>
        <v>1.0003178935713426</v>
      </c>
      <c r="G15" s="33">
        <f>IF(G$5="Actual",SUMIFS(tbl_model_feed_final[net_revenue_retention_rate],tbl_model_feed_final[reporting_month_date],G$4),"")</f>
        <v>1.0007459321207104</v>
      </c>
      <c r="H15" s="33">
        <f>IF(H$5="Actual",SUMIFS(tbl_model_feed_final[net_revenue_retention_rate],tbl_model_feed_final[reporting_month_date],H$4),"")</f>
        <v>1.0009787310746392</v>
      </c>
      <c r="I15" s="33">
        <f>IF(I$5="Actual",SUMIFS(tbl_model_feed_final[net_revenue_retention_rate],tbl_model_feed_final[reporting_month_date],I$4),"")</f>
        <v>0.99881498100608568</v>
      </c>
      <c r="J15" s="33">
        <f>IF(J$5="Actual",SUMIFS(tbl_model_feed_final[net_revenue_retention_rate],tbl_model_feed_final[reporting_month_date],J$4),"")</f>
        <v>1.0006877732154984</v>
      </c>
      <c r="K15" s="33">
        <f>IF(K$5="Actual",SUMIFS(tbl_model_feed_final[net_revenue_retention_rate],tbl_model_feed_final[reporting_month_date],K$4),"")</f>
        <v>0.99999579648616177</v>
      </c>
      <c r="L15" s="33">
        <f>IF(L$5="Actual",SUMIFS(tbl_model_feed_final[net_revenue_retention_rate],tbl_model_feed_final[reporting_month_date],L$4),"")</f>
        <v>1.0003310666690743</v>
      </c>
      <c r="M15" s="33">
        <f>IF(M$5="Actual",SUMIFS(tbl_model_feed_final[net_revenue_retention_rate],tbl_model_feed_final[reporting_month_date],M$4),"")</f>
        <v>0.99951891222191136</v>
      </c>
      <c r="N15" s="33">
        <f>IF(N$5="Actual",SUMIFS(tbl_model_feed_final[net_revenue_retention_rate],tbl_model_feed_final[reporting_month_date],N$4),"")</f>
        <v>1.0000018293911352</v>
      </c>
      <c r="O15" s="33">
        <f>IF(O$5="Actual",SUMIFS(tbl_model_feed_final[net_revenue_retention_rate],tbl_model_feed_final[reporting_month_date],O$4),"")</f>
        <v>0.998934670209352</v>
      </c>
      <c r="P15" s="33">
        <f>IF(P$5="Actual",SUMIFS(tbl_model_feed_final[net_revenue_retention_rate],tbl_model_feed_final[reporting_month_date],P$4),"")</f>
        <v>1.0001898504287028</v>
      </c>
      <c r="Q15" s="33">
        <f>IF(Q$5="Actual",SUMIFS(tbl_model_feed_final[net_revenue_retention_rate],tbl_model_feed_final[reporting_month_date],Q$4),"")</f>
        <v>0.99862959248373573</v>
      </c>
      <c r="R15" s="33">
        <f>IF(R$5="Actual",SUMIFS(tbl_model_feed_final[net_revenue_retention_rate],tbl_model_feed_final[reporting_month_date],R$4),"")</f>
        <v>0.99666713160948828</v>
      </c>
      <c r="S15" s="33">
        <f>IF(S$5="Actual",SUMIFS(tbl_model_feed_final[net_revenue_retention_rate],tbl_model_feed_final[reporting_month_date],S$4),"")</f>
        <v>1.0004270104542266</v>
      </c>
      <c r="T15" s="33">
        <f>IF(T$5="Actual",SUMIFS(tbl_model_feed_final[net_revenue_retention_rate],tbl_model_feed_final[reporting_month_date],T$4),"")</f>
        <v>1.0004232746146335</v>
      </c>
      <c r="U15" s="33">
        <f>IF(U$5="Actual",SUMIFS(tbl_model_feed_final[net_revenue_retention_rate],tbl_model_feed_final[reporting_month_date],U$4),"")</f>
        <v>0.99935922928741239</v>
      </c>
      <c r="V15" s="33">
        <f>IF(V$5="Actual",SUMIFS(tbl_model_feed_final[net_revenue_retention_rate],tbl_model_feed_final[reporting_month_date],V$4),"")</f>
        <v>0.99817053477894635</v>
      </c>
      <c r="W15" s="33">
        <f>IF(W$5="Actual",SUMIFS(tbl_model_feed_final[net_revenue_retention_rate],tbl_model_feed_final[reporting_month_date],W$4),"")</f>
        <v>0.99918228001984877</v>
      </c>
      <c r="X15" s="33">
        <f>IF(X$5="Actual",SUMIFS(tbl_model_feed_final[net_revenue_retention_rate],tbl_model_feed_final[reporting_month_date],X$4),"")</f>
        <v>1.0028822789186582</v>
      </c>
      <c r="Y15" s="33">
        <f>IF(Y$5="Actual",SUMIFS(tbl_model_feed_final[net_revenue_retention_rate],tbl_model_feed_final[reporting_month_date],Y$4),"")</f>
        <v>1.0013362612479866</v>
      </c>
      <c r="Z15" s="33">
        <f>IF(Z$5="Actual",SUMIFS(tbl_model_feed_final[net_revenue_retention_rate],tbl_model_feed_final[reporting_month_date],Z$4),"")</f>
        <v>1.0032698240151925</v>
      </c>
      <c r="AA15" s="33">
        <f>IF(AA$5="Actual",SUMIFS(tbl_model_feed_final[net_revenue_retention_rate],tbl_model_feed_final[reporting_month_date],AA$4),"")</f>
        <v>1.0027208885852064</v>
      </c>
      <c r="AB15" s="33">
        <f>IF(AB$5="Actual",SUMIFS(tbl_model_feed_final[net_revenue_retention_rate],tbl_model_feed_final[reporting_month_date],AB$4),"")</f>
        <v>1.0020284136595354</v>
      </c>
      <c r="AC15" s="33">
        <f>IF(AC$5="Actual",SUMIFS(tbl_model_feed_final[net_revenue_retention_rate],tbl_model_feed_final[reporting_month_date],AC$4),"")</f>
        <v>0.99697007015109196</v>
      </c>
      <c r="AD15" s="33">
        <f>IF(AD$5="Actual",SUMIFS(tbl_model_feed_final[net_revenue_retention_rate],tbl_model_feed_final[reporting_month_date],AD$4),"")</f>
        <v>1.0001131644426782</v>
      </c>
      <c r="AE15" s="33">
        <f>IF(AE$5="Actual",SUMIFS(tbl_model_feed_final[net_revenue_retention_rate],tbl_model_feed_final[reporting_month_date],AE$4),"")</f>
        <v>0.99923984543538402</v>
      </c>
      <c r="AF15" s="33">
        <f>IF(AF$5="Actual",SUMIFS(tbl_model_feed_final[net_revenue_retention_rate],tbl_model_feed_final[reporting_month_date],AF$4),"")</f>
        <v>1.0000249656430495</v>
      </c>
      <c r="AG15" s="33">
        <f>IF(AG$5="Actual",SUMIFS(tbl_model_feed_final[net_revenue_retention_rate],tbl_model_feed_final[reporting_month_date],AG$4),"")</f>
        <v>0.99932019605956934</v>
      </c>
      <c r="AH15" s="33">
        <f>IF(AH$5="Actual",SUMIFS(tbl_model_feed_final[net_revenue_retention_rate],tbl_model_feed_final[reporting_month_date],AH$4),"")</f>
        <v>0.99917672716349715</v>
      </c>
      <c r="AI15" s="33">
        <f>IF(AI$5="Actual",SUMIFS(tbl_model_feed_final[net_revenue_retention_rate],tbl_model_feed_final[reporting_month_date],AI$4),"")</f>
        <v>0.99897944805620875</v>
      </c>
      <c r="AJ15" s="33">
        <f>IF(AJ$5="Actual",SUMIFS(tbl_model_feed_final[net_revenue_retention_rate],tbl_model_feed_final[reporting_month_date],AJ$4),"")</f>
        <v>1.000128280039231</v>
      </c>
      <c r="AK15" s="33">
        <f>IF(AK$5="Actual",SUMIFS(tbl_model_feed_final[net_revenue_retention_rate],tbl_model_feed_final[reporting_month_date],AK$4),"")</f>
        <v>0.99946883115346075</v>
      </c>
      <c r="AL15" s="33">
        <f>IF(AL$5="Actual",SUMIFS(tbl_model_feed_final[net_revenue_retention_rate],tbl_model_feed_final[reporting_month_date],AL$4),"")</f>
        <v>0.99810055160574496</v>
      </c>
      <c r="AM15" s="33">
        <f>IF(AM$5="Actual",SUMIFS(tbl_model_feed_final[net_revenue_retention_rate],tbl_model_feed_final[reporting_month_date],AM$4),"")</f>
        <v>1.0004488997639727</v>
      </c>
      <c r="AN15" s="33">
        <f>IF(AN$5="Actual",SUMIFS(tbl_model_feed_final[net_revenue_retention_rate],tbl_model_feed_final[reporting_month_date],AN$4),"")</f>
        <v>0.99727415831137411</v>
      </c>
      <c r="AO15" s="33">
        <f>IF(AO$5="Actual",SUMIFS(tbl_model_feed_final[net_revenue_retention_rate],tbl_model_feed_final[reporting_month_date],AO$4),"")</f>
        <v>1.0006545927435349</v>
      </c>
      <c r="AP15" s="33">
        <f>IF(AP$5="Actual",SUMIFS(tbl_model_feed_final[net_revenue_retention_rate],tbl_model_feed_final[reporting_month_date],AP$4),"")</f>
        <v>0.9980769250071051</v>
      </c>
      <c r="AQ15" s="34">
        <f>IF(AQ$5="Actual",SUMIFS(tbl_model_feed_final[net_revenue_retention_rate],tbl_model_feed_final[reporting_month_date],AQ$4),"")</f>
        <v>0.97478587613449108</v>
      </c>
      <c r="AR15" s="33">
        <f>IF(AR$5="Actual",SUMIFS(tbl_model_feed_final[net_revenue_retention_rate],tbl_model_feed_final[reporting_month_date],AR$4),_xlfn.XLOOKUP("NRR",tbl_assumptions[Driver],tbl_assumptions[Selected Scenario]))</f>
        <v>1.04</v>
      </c>
      <c r="AS15" s="33">
        <f>IF(AS$5="Actual",SUMIFS(tbl_model_feed_final[net_revenue_retention_rate],tbl_model_feed_final[reporting_month_date],AS$4),_xlfn.XLOOKUP("NRR",tbl_assumptions[Driver],tbl_assumptions[Selected Scenario]))</f>
        <v>1.04</v>
      </c>
      <c r="AT15" s="33">
        <f>IF(AT$5="Actual",SUMIFS(tbl_model_feed_final[net_revenue_retention_rate],tbl_model_feed_final[reporting_month_date],AT$4),_xlfn.XLOOKUP("NRR",tbl_assumptions[Driver],tbl_assumptions[Selected Scenario]))</f>
        <v>1.04</v>
      </c>
      <c r="AU15" s="33">
        <f>IF(AU$5="Actual",SUMIFS(tbl_model_feed_final[net_revenue_retention_rate],tbl_model_feed_final[reporting_month_date],AU$4),_xlfn.XLOOKUP("NRR",tbl_assumptions[Driver],tbl_assumptions[Selected Scenario]))</f>
        <v>1.04</v>
      </c>
      <c r="AV15" s="33">
        <f>IF(AV$5="Actual",SUMIFS(tbl_model_feed_final[net_revenue_retention_rate],tbl_model_feed_final[reporting_month_date],AV$4),_xlfn.XLOOKUP("NRR",tbl_assumptions[Driver],tbl_assumptions[Selected Scenario]))</f>
        <v>1.04</v>
      </c>
      <c r="AW15" s="33">
        <f>IF(AW$5="Actual",SUMIFS(tbl_model_feed_final[net_revenue_retention_rate],tbl_model_feed_final[reporting_month_date],AW$4),_xlfn.XLOOKUP("NRR",tbl_assumptions[Driver],tbl_assumptions[Selected Scenario]))</f>
        <v>1.04</v>
      </c>
      <c r="AX15" s="33">
        <f>IF(AX$5="Actual",SUMIFS(tbl_model_feed_final[net_revenue_retention_rate],tbl_model_feed_final[reporting_month_date],AX$4),_xlfn.XLOOKUP("NRR",tbl_assumptions[Driver],tbl_assumptions[Selected Scenario]))</f>
        <v>1.04</v>
      </c>
      <c r="AY15" s="33">
        <f>IF(AY$5="Actual",SUMIFS(tbl_model_feed_final[net_revenue_retention_rate],tbl_model_feed_final[reporting_month_date],AY$4),_xlfn.XLOOKUP("NRR",tbl_assumptions[Driver],tbl_assumptions[Selected Scenario]))</f>
        <v>1.04</v>
      </c>
      <c r="AZ15" s="33">
        <f>IF(AZ$5="Actual",SUMIFS(tbl_model_feed_final[net_revenue_retention_rate],tbl_model_feed_final[reporting_month_date],AZ$4),_xlfn.XLOOKUP("NRR",tbl_assumptions[Driver],tbl_assumptions[Selected Scenario]))</f>
        <v>1.04</v>
      </c>
      <c r="BA15" s="33">
        <f>IF(BA$5="Actual",SUMIFS(tbl_model_feed_final[net_revenue_retention_rate],tbl_model_feed_final[reporting_month_date],BA$4),_xlfn.XLOOKUP("NRR",tbl_assumptions[Driver],tbl_assumptions[Selected Scenario]))</f>
        <v>1.04</v>
      </c>
      <c r="BB15" s="33">
        <f>IF(BB$5="Actual",SUMIFS(tbl_model_feed_final[net_revenue_retention_rate],tbl_model_feed_final[reporting_month_date],BB$4),_xlfn.XLOOKUP("NRR",tbl_assumptions[Driver],tbl_assumptions[Selected Scenario]))</f>
        <v>1.04</v>
      </c>
      <c r="BC15" s="33">
        <f>IF(BC$5="Actual",SUMIFS(tbl_model_feed_final[net_revenue_retention_rate],tbl_model_feed_final[reporting_month_date],BC$4),_xlfn.XLOOKUP("NRR",tbl_assumptions[Driver],tbl_assumptions[Selected Scenario]))</f>
        <v>1.04</v>
      </c>
      <c r="BD15" s="33">
        <f>IF(BD$5="Actual",SUMIFS(tbl_model_feed_final[net_revenue_retention_rate],tbl_model_feed_final[reporting_month_date],BD$4),_xlfn.XLOOKUP("NRR",tbl_assumptions[Driver],tbl_assumptions[Selected Scenario]))</f>
        <v>1.04</v>
      </c>
      <c r="BE15" s="33">
        <f>IF(BE$5="Actual",SUMIFS(tbl_model_feed_final[net_revenue_retention_rate],tbl_model_feed_final[reporting_month_date],BE$4),_xlfn.XLOOKUP("NRR",tbl_assumptions[Driver],tbl_assumptions[Selected Scenario]))</f>
        <v>1.04</v>
      </c>
      <c r="BF15" s="33">
        <f>IF(BF$5="Actual",SUMIFS(tbl_model_feed_final[net_revenue_retention_rate],tbl_model_feed_final[reporting_month_date],BF$4),_xlfn.XLOOKUP("NRR",tbl_assumptions[Driver],tbl_assumptions[Selected Scenario]))</f>
        <v>1.04</v>
      </c>
      <c r="BG15" s="33">
        <f>IF(BG$5="Actual",SUMIFS(tbl_model_feed_final[net_revenue_retention_rate],tbl_model_feed_final[reporting_month_date],BG$4),_xlfn.XLOOKUP("NRR",tbl_assumptions[Driver],tbl_assumptions[Selected Scenario]))</f>
        <v>1.04</v>
      </c>
      <c r="BH15" s="33">
        <f>IF(BH$5="Actual",SUMIFS(tbl_model_feed_final[net_revenue_retention_rate],tbl_model_feed_final[reporting_month_date],BH$4),_xlfn.XLOOKUP("NRR",tbl_assumptions[Driver],tbl_assumptions[Selected Scenario]))</f>
        <v>1.04</v>
      </c>
      <c r="BI15" s="33">
        <f>IF(BI$5="Actual",SUMIFS(tbl_model_feed_final[net_revenue_retention_rate],tbl_model_feed_final[reporting_month_date],BI$4),_xlfn.XLOOKUP("NRR",tbl_assumptions[Driver],tbl_assumptions[Selected Scenario]))</f>
        <v>1.04</v>
      </c>
      <c r="BJ15" s="33">
        <f>IF(BJ$5="Actual",SUMIFS(tbl_model_feed_final[net_revenue_retention_rate],tbl_model_feed_final[reporting_month_date],BJ$4),_xlfn.XLOOKUP("NRR",tbl_assumptions[Driver],tbl_assumptions[Selected Scenario]))</f>
        <v>1.04</v>
      </c>
      <c r="BK15" s="33">
        <f>IF(BK$5="Actual",SUMIFS(tbl_model_feed_final[net_revenue_retention_rate],tbl_model_feed_final[reporting_month_date],BK$4),_xlfn.XLOOKUP("NRR",tbl_assumptions[Driver],tbl_assumptions[Selected Scenario]))</f>
        <v>1.04</v>
      </c>
      <c r="BL15" s="33">
        <f>IF(BL$5="Actual",SUMIFS(tbl_model_feed_final[net_revenue_retention_rate],tbl_model_feed_final[reporting_month_date],BL$4),_xlfn.XLOOKUP("NRR",tbl_assumptions[Driver],tbl_assumptions[Selected Scenario]))</f>
        <v>1.04</v>
      </c>
      <c r="BM15" s="33">
        <f>IF(BM$5="Actual",SUMIFS(tbl_model_feed_final[net_revenue_retention_rate],tbl_model_feed_final[reporting_month_date],BM$4),_xlfn.XLOOKUP("NRR",tbl_assumptions[Driver],tbl_assumptions[Selected Scenario]))</f>
        <v>1.04</v>
      </c>
      <c r="BN15" s="33">
        <f>IF(BN$5="Actual",SUMIFS(tbl_model_feed_final[net_revenue_retention_rate],tbl_model_feed_final[reporting_month_date],BN$4),_xlfn.XLOOKUP("NRR",tbl_assumptions[Driver],tbl_assumptions[Selected Scenario]))</f>
        <v>1.04</v>
      </c>
      <c r="BO15" s="33">
        <f>IF(BO$5="Actual",SUMIFS(tbl_model_feed_final[net_revenue_retention_rate],tbl_model_feed_final[reporting_month_date],BO$4),_xlfn.XLOOKUP("NRR",tbl_assumptions[Driver],tbl_assumptions[Selected Scenario]))</f>
        <v>1.04</v>
      </c>
      <c r="BP15" s="33">
        <f>IF(BP$5="Actual",SUMIFS(tbl_model_feed_final[net_revenue_retention_rate],tbl_model_feed_final[reporting_month_date],BP$4),_xlfn.XLOOKUP("NRR",tbl_assumptions[Driver],tbl_assumptions[Selected Scenario]))</f>
        <v>1.04</v>
      </c>
      <c r="BQ15" s="33">
        <f>IF(BQ$5="Actual",SUMIFS(tbl_model_feed_final[net_revenue_retention_rate],tbl_model_feed_final[reporting_month_date],BQ$4),_xlfn.XLOOKUP("NRR",tbl_assumptions[Driver],tbl_assumptions[Selected Scenario]))</f>
        <v>1.04</v>
      </c>
      <c r="BR15" s="33">
        <f>IF(BR$5="Actual",SUMIFS(tbl_model_feed_final[net_revenue_retention_rate],tbl_model_feed_final[reporting_month_date],BR$4),_xlfn.XLOOKUP("NRR",tbl_assumptions[Driver],tbl_assumptions[Selected Scenario]))</f>
        <v>1.04</v>
      </c>
      <c r="BS15" s="33">
        <f>IF(BS$5="Actual",SUMIFS(tbl_model_feed_final[net_revenue_retention_rate],tbl_model_feed_final[reporting_month_date],BS$4),_xlfn.XLOOKUP("NRR",tbl_assumptions[Driver],tbl_assumptions[Selected Scenario]))</f>
        <v>1.04</v>
      </c>
      <c r="BT15" s="33">
        <f>IF(BT$5="Actual",SUMIFS(tbl_model_feed_final[net_revenue_retention_rate],tbl_model_feed_final[reporting_month_date],BT$4),_xlfn.XLOOKUP("NRR",tbl_assumptions[Driver],tbl_assumptions[Selected Scenario]))</f>
        <v>1.04</v>
      </c>
      <c r="BU15" s="33">
        <f>IF(BU$5="Actual",SUMIFS(tbl_model_feed_final[net_revenue_retention_rate],tbl_model_feed_final[reporting_month_date],BU$4),_xlfn.XLOOKUP("NRR",tbl_assumptions[Driver],tbl_assumptions[Selected Scenario]))</f>
        <v>1.04</v>
      </c>
      <c r="BV15" s="33">
        <f>IF(BV$5="Actual",SUMIFS(tbl_model_feed_final[net_revenue_retention_rate],tbl_model_feed_final[reporting_month_date],BV$4),_xlfn.XLOOKUP("NRR",tbl_assumptions[Driver],tbl_assumptions[Selected Scenario]))</f>
        <v>1.04</v>
      </c>
      <c r="BW15" s="33">
        <f>IF(BW$5="Actual",SUMIFS(tbl_model_feed_final[net_revenue_retention_rate],tbl_model_feed_final[reporting_month_date],BW$4),_xlfn.XLOOKUP("NRR",tbl_assumptions[Driver],tbl_assumptions[Selected Scenario]))</f>
        <v>1.04</v>
      </c>
      <c r="BX15" s="33">
        <f>IF(BX$5="Actual",SUMIFS(tbl_model_feed_final[net_revenue_retention_rate],tbl_model_feed_final[reporting_month_date],BX$4),_xlfn.XLOOKUP("NRR",tbl_assumptions[Driver],tbl_assumptions[Selected Scenario]))</f>
        <v>1.04</v>
      </c>
      <c r="BY15" s="33">
        <f>IF(BY$5="Actual",SUMIFS(tbl_model_feed_final[net_revenue_retention_rate],tbl_model_feed_final[reporting_month_date],BY$4),_xlfn.XLOOKUP("NRR",tbl_assumptions[Driver],tbl_assumptions[Selected Scenario]))</f>
        <v>1.04</v>
      </c>
      <c r="BZ15" s="33">
        <f>IF(BZ$5="Actual",SUMIFS(tbl_model_feed_final[net_revenue_retention_rate],tbl_model_feed_final[reporting_month_date],BZ$4),_xlfn.XLOOKUP("NRR",tbl_assumptions[Driver],tbl_assumptions[Selected Scenario]))</f>
        <v>1.04</v>
      </c>
      <c r="CA15" s="33">
        <f>IF(CA$5="Actual",SUMIFS(tbl_model_feed_final[net_revenue_retention_rate],tbl_model_feed_final[reporting_month_date],CA$4),_xlfn.XLOOKUP("NRR",tbl_assumptions[Driver],tbl_assumptions[Selected Scenario]))</f>
        <v>1.04</v>
      </c>
      <c r="CB15" s="33">
        <f>IF(CB$5="Actual",SUMIFS(tbl_model_feed_final[net_revenue_retention_rate],tbl_model_feed_final[reporting_month_date],CB$4),_xlfn.XLOOKUP("NRR",tbl_assumptions[Driver],tbl_assumptions[Selected Scenario]))</f>
        <v>1.04</v>
      </c>
      <c r="CC15" s="33">
        <f>IF(CC$5="Actual",SUMIFS(tbl_model_feed_final[net_revenue_retention_rate],tbl_model_feed_final[reporting_month_date],CC$4),_xlfn.XLOOKUP("NRR",tbl_assumptions[Driver],tbl_assumptions[Selected Scenario]))</f>
        <v>1.04</v>
      </c>
      <c r="CD15" s="33">
        <f>IF(CD$5="Actual",SUMIFS(tbl_model_feed_final[net_revenue_retention_rate],tbl_model_feed_final[reporting_month_date],CD$4),_xlfn.XLOOKUP("NRR",tbl_assumptions[Driver],tbl_assumptions[Selected Scenario]))</f>
        <v>1.04</v>
      </c>
      <c r="CE15" s="33">
        <f>IF(CE$5="Actual",SUMIFS(tbl_model_feed_final[net_revenue_retention_rate],tbl_model_feed_final[reporting_month_date],CE$4),_xlfn.XLOOKUP("NRR",tbl_assumptions[Driver],tbl_assumptions[Selected Scenario]))</f>
        <v>1.04</v>
      </c>
      <c r="CF15" s="33">
        <f>IF(CF$5="Actual",SUMIFS(tbl_model_feed_final[net_revenue_retention_rate],tbl_model_feed_final[reporting_month_date],CF$4),_xlfn.XLOOKUP("NRR",tbl_assumptions[Driver],tbl_assumptions[Selected Scenario]))</f>
        <v>1.04</v>
      </c>
      <c r="CG15" s="33">
        <f>IF(CG$5="Actual",SUMIFS(tbl_model_feed_final[net_revenue_retention_rate],tbl_model_feed_final[reporting_month_date],CG$4),_xlfn.XLOOKUP("NRR",tbl_assumptions[Driver],tbl_assumptions[Selected Scenario]))</f>
        <v>1.04</v>
      </c>
    </row>
    <row r="16" spans="1:85" x14ac:dyDescent="0.3">
      <c r="A16" s="26" t="s">
        <v>133</v>
      </c>
      <c r="B16" s="31">
        <f>IF(B$5="Actual",SUMIFS(tbl_model_feed_final[logo_churn_rate],tbl_model_feed_final[reporting_month_date],B$4),"")</f>
        <v>4.399472063352398E-4</v>
      </c>
      <c r="C16" s="31">
        <f>IF(C$5="Actual",SUMIFS(tbl_model_feed_final[logo_churn_rate],tbl_model_feed_final[reporting_month_date],C$4),"")</f>
        <v>8.5910652920962198E-4</v>
      </c>
      <c r="D16" s="31">
        <f>IF(D$5="Actual",SUMIFS(tbl_model_feed_final[logo_churn_rate],tbl_model_feed_final[reporting_month_date],D$4),"")</f>
        <v>8.3927822073017204E-4</v>
      </c>
      <c r="E16" s="31">
        <f>IF(E$5="Actual",SUMIFS(tbl_model_feed_final[logo_churn_rate],tbl_model_feed_final[reporting_month_date],E$4),"")</f>
        <v>0</v>
      </c>
      <c r="F16" s="31">
        <f>IF(F$5="Actual",SUMIFS(tbl_model_feed_final[logo_churn_rate],tbl_model_feed_final[reporting_month_date],F$4),"")</f>
        <v>3.9761431411530816E-4</v>
      </c>
      <c r="G16" s="31">
        <f>IF(G$5="Actual",SUMIFS(tbl_model_feed_final[logo_churn_rate],tbl_model_feed_final[reporting_month_date],G$4),"")</f>
        <v>3.8520801232665641E-4</v>
      </c>
      <c r="H16" s="31">
        <f>IF(H$5="Actual",SUMIFS(tbl_model_feed_final[logo_churn_rate],tbl_model_feed_final[reporting_month_date],H$4),"")</f>
        <v>0</v>
      </c>
      <c r="I16" s="31">
        <f>IF(I$5="Actual",SUMIFS(tbl_model_feed_final[logo_churn_rate],tbl_model_feed_final[reporting_month_date],I$4),"")</f>
        <v>7.3855243722304289E-4</v>
      </c>
      <c r="J16" s="31">
        <f>IF(J$5="Actual",SUMIFS(tbl_model_feed_final[logo_churn_rate],tbl_model_feed_final[reporting_month_date],J$4),"")</f>
        <v>0</v>
      </c>
      <c r="K16" s="31">
        <f>IF(K$5="Actual",SUMIFS(tbl_model_feed_final[logo_churn_rate],tbl_model_feed_final[reporting_month_date],K$4),"")</f>
        <v>1.0574550581600281E-3</v>
      </c>
      <c r="L16" s="31">
        <f>IF(L$5="Actual",SUMIFS(tbl_model_feed_final[logo_churn_rate],tbl_model_feed_final[reporting_month_date],L$4),"")</f>
        <v>6.9132388524023505E-4</v>
      </c>
      <c r="M16" s="31">
        <f>IF(M$5="Actual",SUMIFS(tbl_model_feed_final[logo_churn_rate],tbl_model_feed_final[reporting_month_date],M$4),"")</f>
        <v>1.6989466530750934E-3</v>
      </c>
      <c r="N16" s="31">
        <f>IF(N$5="Actual",SUMIFS(tbl_model_feed_final[logo_churn_rate],tbl_model_feed_final[reporting_month_date],N$4),"")</f>
        <v>1.332001332001332E-3</v>
      </c>
      <c r="O16" s="31">
        <f>IF(O$5="Actual",SUMIFS(tbl_model_feed_final[logo_churn_rate],tbl_model_feed_final[reporting_month_date],O$4),"")</f>
        <v>1.3093289689034371E-3</v>
      </c>
      <c r="P16" s="31">
        <f>IF(P$5="Actual",SUMIFS(tbl_model_feed_final[logo_churn_rate],tbl_model_feed_final[reporting_month_date],P$4),"")</f>
        <v>3.2268473701193933E-4</v>
      </c>
      <c r="Q16" s="31">
        <f>IF(Q$5="Actual",SUMIFS(tbl_model_feed_final[logo_churn_rate],tbl_model_feed_final[reporting_month_date],Q$4),"")</f>
        <v>1.2714558169103624E-3</v>
      </c>
      <c r="R16" s="31">
        <f>IF(R$5="Actual",SUMIFS(tbl_model_feed_final[logo_churn_rate],tbl_model_feed_final[reporting_month_date],R$4),"")</f>
        <v>1.880288310874334E-3</v>
      </c>
      <c r="S16" s="31">
        <f>IF(S$5="Actual",SUMIFS(tbl_model_feed_final[logo_churn_rate],tbl_model_feed_final[reporting_month_date],S$4),"")</f>
        <v>9.2965602726991013E-4</v>
      </c>
      <c r="T16" s="31">
        <f>IF(T$5="Actual",SUMIFS(tbl_model_feed_final[logo_churn_rate],tbl_model_feed_final[reporting_month_date],T$4),"")</f>
        <v>6.1349693251533746E-4</v>
      </c>
      <c r="U16" s="31">
        <f>IF(U$5="Actual",SUMIFS(tbl_model_feed_final[logo_churn_rate],tbl_model_feed_final[reporting_month_date],U$4),"")</f>
        <v>9.0579710144927537E-4</v>
      </c>
      <c r="V16" s="31">
        <f>IF(V$5="Actual",SUMIFS(tbl_model_feed_final[logo_churn_rate],tbl_model_feed_final[reporting_month_date],V$4),"")</f>
        <v>1.7841213202497771E-3</v>
      </c>
      <c r="W16" s="31">
        <f>IF(W$5="Actual",SUMIFS(tbl_model_feed_final[logo_churn_rate],tbl_model_feed_final[reporting_month_date],W$4),"")</f>
        <v>8.7976539589442815E-4</v>
      </c>
      <c r="X16" s="31">
        <f>IF(X$5="Actual",SUMIFS(tbl_model_feed_final[logo_churn_rate],tbl_model_feed_final[reporting_month_date],X$4),"")</f>
        <v>1.1554015020219526E-3</v>
      </c>
      <c r="Y16" s="31">
        <f>IF(Y$5="Actual",SUMIFS(tbl_model_feed_final[logo_churn_rate],tbl_model_feed_final[reporting_month_date],Y$4),"")</f>
        <v>1.4318442153493699E-3</v>
      </c>
      <c r="Z16" s="31">
        <f>IF(Z$5="Actual",SUMIFS(tbl_model_feed_final[logo_churn_rate],tbl_model_feed_final[reporting_month_date],Z$4),"")</f>
        <v>1.1337868480725624E-3</v>
      </c>
      <c r="AA16" s="31">
        <f>IF(AA$5="Actual",SUMIFS(tbl_model_feed_final[logo_churn_rate],tbl_model_feed_final[reporting_month_date],AA$4),"")</f>
        <v>1.1273957158962795E-3</v>
      </c>
      <c r="AB16" s="31">
        <f>IF(AB$5="Actual",SUMIFS(tbl_model_feed_final[logo_churn_rate],tbl_model_feed_final[reporting_month_date],AB$4),"")</f>
        <v>8.4507042253521131E-4</v>
      </c>
      <c r="AC16" s="31">
        <f>IF(AC$5="Actual",SUMIFS(tbl_model_feed_final[logo_churn_rate],tbl_model_feed_final[reporting_month_date],AC$4),"")</f>
        <v>1.6863406408094434E-3</v>
      </c>
      <c r="AD16" s="31">
        <f>IF(AD$5="Actual",SUMIFS(tbl_model_feed_final[logo_churn_rate],tbl_model_feed_final[reporting_month_date],AD$4),"")</f>
        <v>1.1185682326621924E-3</v>
      </c>
      <c r="AE16" s="31">
        <f>IF(AE$5="Actual",SUMIFS(tbl_model_feed_final[logo_churn_rate],tbl_model_feed_final[reporting_month_date],AE$4),"")</f>
        <v>1.3931457230426303E-3</v>
      </c>
      <c r="AF16" s="31">
        <f>IF(AF$5="Actual",SUMIFS(tbl_model_feed_final[logo_churn_rate],tbl_model_feed_final[reporting_month_date],AF$4),"")</f>
        <v>1.1104941699056081E-3</v>
      </c>
      <c r="AG16" s="31">
        <f>IF(AG$5="Actual",SUMIFS(tbl_model_feed_final[logo_churn_rate],tbl_model_feed_final[reporting_month_date],AG$4),"")</f>
        <v>1.1077263915812794E-3</v>
      </c>
      <c r="AH16" s="31">
        <f>IF(AH$5="Actual",SUMIFS(tbl_model_feed_final[logo_churn_rate],tbl_model_feed_final[reporting_month_date],AH$4),"")</f>
        <v>5.5233360950013809E-4</v>
      </c>
      <c r="AI16" s="31">
        <f>IF(AI$5="Actual",SUMIFS(tbl_model_feed_final[logo_churn_rate],tbl_model_feed_final[reporting_month_date],AI$4),"")</f>
        <v>1.1025358324145535E-3</v>
      </c>
      <c r="AJ16" s="31">
        <f>IF(AJ$5="Actual",SUMIFS(tbl_model_feed_final[logo_churn_rate],tbl_model_feed_final[reporting_month_date],AJ$4),"")</f>
        <v>8.2462891698735572E-4</v>
      </c>
      <c r="AK16" s="31">
        <f>IF(AK$5="Actual",SUMIFS(tbl_model_feed_final[logo_churn_rate],tbl_model_feed_final[reporting_month_date],AK$4),"")</f>
        <v>1.0964912280701754E-3</v>
      </c>
      <c r="AL16" s="31">
        <f>IF(AL$5="Actual",SUMIFS(tbl_model_feed_final[logo_churn_rate],tbl_model_feed_final[reporting_month_date],AL$4),"")</f>
        <v>2.4583447145588638E-3</v>
      </c>
      <c r="AM16" s="31">
        <f>IF(AM$5="Actual",SUMIFS(tbl_model_feed_final[logo_churn_rate],tbl_model_feed_final[reporting_month_date],AM$4),"")</f>
        <v>5.4734537493158185E-4</v>
      </c>
      <c r="AN16" s="31">
        <f>IF(AN$5="Actual",SUMIFS(tbl_model_feed_final[logo_churn_rate],tbl_model_feed_final[reporting_month_date],AN$4),"")</f>
        <v>3.0120481927710845E-3</v>
      </c>
      <c r="AO16" s="31">
        <f>IF(AO$5="Actual",SUMIFS(tbl_model_feed_final[logo_churn_rate],tbl_model_feed_final[reporting_month_date],AO$4),"")</f>
        <v>5.4914881933003845E-4</v>
      </c>
      <c r="AP16" s="31">
        <f>IF(AP$5="Actual",SUMIFS(tbl_model_feed_final[logo_churn_rate],tbl_model_feed_final[reporting_month_date],AP$4),"")</f>
        <v>2.4725274725274724E-3</v>
      </c>
      <c r="AQ16" s="32">
        <f>IF(AQ$5="Actual",SUMIFS(tbl_model_feed_final[logo_churn_rate],tbl_model_feed_final[reporting_month_date],AQ$4),"")</f>
        <v>2.7533039647577095E-4</v>
      </c>
      <c r="AR16" s="31">
        <f>IF(AR$5="Actual",SUMIFS(tbl_model_feed_final[logo_churn_rate],tbl_model_feed_final[reporting_month_date],AR$4),_xlfn.XLOOKUP("Logo Churn",tbl_assumptions[Driver],tbl_assumptions[Selected Scenario]))</f>
        <v>1.7999999999999999E-2</v>
      </c>
      <c r="AS16" s="31">
        <f>IF(AS$5="Actual",SUMIFS(tbl_model_feed_final[logo_churn_rate],tbl_model_feed_final[reporting_month_date],AS$4),_xlfn.XLOOKUP("Logo Churn",tbl_assumptions[Driver],tbl_assumptions[Selected Scenario]))</f>
        <v>1.7999999999999999E-2</v>
      </c>
      <c r="AT16" s="31">
        <f>IF(AT$5="Actual",SUMIFS(tbl_model_feed_final[logo_churn_rate],tbl_model_feed_final[reporting_month_date],AT$4),_xlfn.XLOOKUP("Logo Churn",tbl_assumptions[Driver],tbl_assumptions[Selected Scenario]))</f>
        <v>1.7999999999999999E-2</v>
      </c>
      <c r="AU16" s="31">
        <f>IF(AU$5="Actual",SUMIFS(tbl_model_feed_final[logo_churn_rate],tbl_model_feed_final[reporting_month_date],AU$4),_xlfn.XLOOKUP("Logo Churn",tbl_assumptions[Driver],tbl_assumptions[Selected Scenario]))</f>
        <v>1.7999999999999999E-2</v>
      </c>
      <c r="AV16" s="31">
        <f>IF(AV$5="Actual",SUMIFS(tbl_model_feed_final[logo_churn_rate],tbl_model_feed_final[reporting_month_date],AV$4),_xlfn.XLOOKUP("Logo Churn",tbl_assumptions[Driver],tbl_assumptions[Selected Scenario]))</f>
        <v>1.7999999999999999E-2</v>
      </c>
      <c r="AW16" s="31">
        <f>IF(AW$5="Actual",SUMIFS(tbl_model_feed_final[logo_churn_rate],tbl_model_feed_final[reporting_month_date],AW$4),_xlfn.XLOOKUP("Logo Churn",tbl_assumptions[Driver],tbl_assumptions[Selected Scenario]))</f>
        <v>1.7999999999999999E-2</v>
      </c>
      <c r="AX16" s="31">
        <f>IF(AX$5="Actual",SUMIFS(tbl_model_feed_final[logo_churn_rate],tbl_model_feed_final[reporting_month_date],AX$4),_xlfn.XLOOKUP("Logo Churn",tbl_assumptions[Driver],tbl_assumptions[Selected Scenario]))</f>
        <v>1.7999999999999999E-2</v>
      </c>
      <c r="AY16" s="31">
        <f>IF(AY$5="Actual",SUMIFS(tbl_model_feed_final[logo_churn_rate],tbl_model_feed_final[reporting_month_date],AY$4),_xlfn.XLOOKUP("Logo Churn",tbl_assumptions[Driver],tbl_assumptions[Selected Scenario]))</f>
        <v>1.7999999999999999E-2</v>
      </c>
      <c r="AZ16" s="31">
        <f>IF(AZ$5="Actual",SUMIFS(tbl_model_feed_final[logo_churn_rate],tbl_model_feed_final[reporting_month_date],AZ$4),_xlfn.XLOOKUP("Logo Churn",tbl_assumptions[Driver],tbl_assumptions[Selected Scenario]))</f>
        <v>1.7999999999999999E-2</v>
      </c>
      <c r="BA16" s="31">
        <f>IF(BA$5="Actual",SUMIFS(tbl_model_feed_final[logo_churn_rate],tbl_model_feed_final[reporting_month_date],BA$4),_xlfn.XLOOKUP("Logo Churn",tbl_assumptions[Driver],tbl_assumptions[Selected Scenario]))</f>
        <v>1.7999999999999999E-2</v>
      </c>
      <c r="BB16" s="31">
        <f>IF(BB$5="Actual",SUMIFS(tbl_model_feed_final[logo_churn_rate],tbl_model_feed_final[reporting_month_date],BB$4),_xlfn.XLOOKUP("Logo Churn",tbl_assumptions[Driver],tbl_assumptions[Selected Scenario]))</f>
        <v>1.7999999999999999E-2</v>
      </c>
      <c r="BC16" s="31">
        <f>IF(BC$5="Actual",SUMIFS(tbl_model_feed_final[logo_churn_rate],tbl_model_feed_final[reporting_month_date],BC$4),_xlfn.XLOOKUP("Logo Churn",tbl_assumptions[Driver],tbl_assumptions[Selected Scenario]))</f>
        <v>1.7999999999999999E-2</v>
      </c>
      <c r="BD16" s="31">
        <f>IF(BD$5="Actual",SUMIFS(tbl_model_feed_final[logo_churn_rate],tbl_model_feed_final[reporting_month_date],BD$4),_xlfn.XLOOKUP("Logo Churn",tbl_assumptions[Driver],tbl_assumptions[Selected Scenario]))</f>
        <v>1.7999999999999999E-2</v>
      </c>
      <c r="BE16" s="31">
        <f>IF(BE$5="Actual",SUMIFS(tbl_model_feed_final[logo_churn_rate],tbl_model_feed_final[reporting_month_date],BE$4),_xlfn.XLOOKUP("Logo Churn",tbl_assumptions[Driver],tbl_assumptions[Selected Scenario]))</f>
        <v>1.7999999999999999E-2</v>
      </c>
      <c r="BF16" s="31">
        <f>IF(BF$5="Actual",SUMIFS(tbl_model_feed_final[logo_churn_rate],tbl_model_feed_final[reporting_month_date],BF$4),_xlfn.XLOOKUP("Logo Churn",tbl_assumptions[Driver],tbl_assumptions[Selected Scenario]))</f>
        <v>1.7999999999999999E-2</v>
      </c>
      <c r="BG16" s="31">
        <f>IF(BG$5="Actual",SUMIFS(tbl_model_feed_final[logo_churn_rate],tbl_model_feed_final[reporting_month_date],BG$4),_xlfn.XLOOKUP("Logo Churn",tbl_assumptions[Driver],tbl_assumptions[Selected Scenario]))</f>
        <v>1.7999999999999999E-2</v>
      </c>
      <c r="BH16" s="31">
        <f>IF(BH$5="Actual",SUMIFS(tbl_model_feed_final[logo_churn_rate],tbl_model_feed_final[reporting_month_date],BH$4),_xlfn.XLOOKUP("Logo Churn",tbl_assumptions[Driver],tbl_assumptions[Selected Scenario]))</f>
        <v>1.7999999999999999E-2</v>
      </c>
      <c r="BI16" s="31">
        <f>IF(BI$5="Actual",SUMIFS(tbl_model_feed_final[logo_churn_rate],tbl_model_feed_final[reporting_month_date],BI$4),_xlfn.XLOOKUP("Logo Churn",tbl_assumptions[Driver],tbl_assumptions[Selected Scenario]))</f>
        <v>1.7999999999999999E-2</v>
      </c>
      <c r="BJ16" s="31">
        <f>IF(BJ$5="Actual",SUMIFS(tbl_model_feed_final[logo_churn_rate],tbl_model_feed_final[reporting_month_date],BJ$4),_xlfn.XLOOKUP("Logo Churn",tbl_assumptions[Driver],tbl_assumptions[Selected Scenario]))</f>
        <v>1.7999999999999999E-2</v>
      </c>
      <c r="BK16" s="31">
        <f>IF(BK$5="Actual",SUMIFS(tbl_model_feed_final[logo_churn_rate],tbl_model_feed_final[reporting_month_date],BK$4),_xlfn.XLOOKUP("Logo Churn",tbl_assumptions[Driver],tbl_assumptions[Selected Scenario]))</f>
        <v>1.7999999999999999E-2</v>
      </c>
      <c r="BL16" s="31">
        <f>IF(BL$5="Actual",SUMIFS(tbl_model_feed_final[logo_churn_rate],tbl_model_feed_final[reporting_month_date],BL$4),_xlfn.XLOOKUP("Logo Churn",tbl_assumptions[Driver],tbl_assumptions[Selected Scenario]))</f>
        <v>1.7999999999999999E-2</v>
      </c>
      <c r="BM16" s="31">
        <f>IF(BM$5="Actual",SUMIFS(tbl_model_feed_final[logo_churn_rate],tbl_model_feed_final[reporting_month_date],BM$4),_xlfn.XLOOKUP("Logo Churn",tbl_assumptions[Driver],tbl_assumptions[Selected Scenario]))</f>
        <v>1.7999999999999999E-2</v>
      </c>
      <c r="BN16" s="31">
        <f>IF(BN$5="Actual",SUMIFS(tbl_model_feed_final[logo_churn_rate],tbl_model_feed_final[reporting_month_date],BN$4),_xlfn.XLOOKUP("Logo Churn",tbl_assumptions[Driver],tbl_assumptions[Selected Scenario]))</f>
        <v>1.7999999999999999E-2</v>
      </c>
      <c r="BO16" s="31">
        <f>IF(BO$5="Actual",SUMIFS(tbl_model_feed_final[logo_churn_rate],tbl_model_feed_final[reporting_month_date],BO$4),_xlfn.XLOOKUP("Logo Churn",tbl_assumptions[Driver],tbl_assumptions[Selected Scenario]))</f>
        <v>1.7999999999999999E-2</v>
      </c>
      <c r="BP16" s="31">
        <f>IF(BP$5="Actual",SUMIFS(tbl_model_feed_final[logo_churn_rate],tbl_model_feed_final[reporting_month_date],BP$4),_xlfn.XLOOKUP("Logo Churn",tbl_assumptions[Driver],tbl_assumptions[Selected Scenario]))</f>
        <v>1.7999999999999999E-2</v>
      </c>
      <c r="BQ16" s="31">
        <f>IF(BQ$5="Actual",SUMIFS(tbl_model_feed_final[logo_churn_rate],tbl_model_feed_final[reporting_month_date],BQ$4),_xlfn.XLOOKUP("Logo Churn",tbl_assumptions[Driver],tbl_assumptions[Selected Scenario]))</f>
        <v>1.7999999999999999E-2</v>
      </c>
      <c r="BR16" s="31">
        <f>IF(BR$5="Actual",SUMIFS(tbl_model_feed_final[logo_churn_rate],tbl_model_feed_final[reporting_month_date],BR$4),_xlfn.XLOOKUP("Logo Churn",tbl_assumptions[Driver],tbl_assumptions[Selected Scenario]))</f>
        <v>1.7999999999999999E-2</v>
      </c>
      <c r="BS16" s="31">
        <f>IF(BS$5="Actual",SUMIFS(tbl_model_feed_final[logo_churn_rate],tbl_model_feed_final[reporting_month_date],BS$4),_xlfn.XLOOKUP("Logo Churn",tbl_assumptions[Driver],tbl_assumptions[Selected Scenario]))</f>
        <v>1.7999999999999999E-2</v>
      </c>
      <c r="BT16" s="31">
        <f>IF(BT$5="Actual",SUMIFS(tbl_model_feed_final[logo_churn_rate],tbl_model_feed_final[reporting_month_date],BT$4),_xlfn.XLOOKUP("Logo Churn",tbl_assumptions[Driver],tbl_assumptions[Selected Scenario]))</f>
        <v>1.7999999999999999E-2</v>
      </c>
      <c r="BU16" s="31">
        <f>IF(BU$5="Actual",SUMIFS(tbl_model_feed_final[logo_churn_rate],tbl_model_feed_final[reporting_month_date],BU$4),_xlfn.XLOOKUP("Logo Churn",tbl_assumptions[Driver],tbl_assumptions[Selected Scenario]))</f>
        <v>1.7999999999999999E-2</v>
      </c>
      <c r="BV16" s="31">
        <f>IF(BV$5="Actual",SUMIFS(tbl_model_feed_final[logo_churn_rate],tbl_model_feed_final[reporting_month_date],BV$4),_xlfn.XLOOKUP("Logo Churn",tbl_assumptions[Driver],tbl_assumptions[Selected Scenario]))</f>
        <v>1.7999999999999999E-2</v>
      </c>
      <c r="BW16" s="31">
        <f>IF(BW$5="Actual",SUMIFS(tbl_model_feed_final[logo_churn_rate],tbl_model_feed_final[reporting_month_date],BW$4),_xlfn.XLOOKUP("Logo Churn",tbl_assumptions[Driver],tbl_assumptions[Selected Scenario]))</f>
        <v>1.7999999999999999E-2</v>
      </c>
      <c r="BX16" s="31">
        <f>IF(BX$5="Actual",SUMIFS(tbl_model_feed_final[logo_churn_rate],tbl_model_feed_final[reporting_month_date],BX$4),_xlfn.XLOOKUP("Logo Churn",tbl_assumptions[Driver],tbl_assumptions[Selected Scenario]))</f>
        <v>1.7999999999999999E-2</v>
      </c>
      <c r="BY16" s="31">
        <f>IF(BY$5="Actual",SUMIFS(tbl_model_feed_final[logo_churn_rate],tbl_model_feed_final[reporting_month_date],BY$4),_xlfn.XLOOKUP("Logo Churn",tbl_assumptions[Driver],tbl_assumptions[Selected Scenario]))</f>
        <v>1.7999999999999999E-2</v>
      </c>
      <c r="BZ16" s="31">
        <f>IF(BZ$5="Actual",SUMIFS(tbl_model_feed_final[logo_churn_rate],tbl_model_feed_final[reporting_month_date],BZ$4),_xlfn.XLOOKUP("Logo Churn",tbl_assumptions[Driver],tbl_assumptions[Selected Scenario]))</f>
        <v>1.7999999999999999E-2</v>
      </c>
      <c r="CA16" s="31">
        <f>IF(CA$5="Actual",SUMIFS(tbl_model_feed_final[logo_churn_rate],tbl_model_feed_final[reporting_month_date],CA$4),_xlfn.XLOOKUP("Logo Churn",tbl_assumptions[Driver],tbl_assumptions[Selected Scenario]))</f>
        <v>1.7999999999999999E-2</v>
      </c>
      <c r="CB16" s="31">
        <f>IF(CB$5="Actual",SUMIFS(tbl_model_feed_final[logo_churn_rate],tbl_model_feed_final[reporting_month_date],CB$4),_xlfn.XLOOKUP("Logo Churn",tbl_assumptions[Driver],tbl_assumptions[Selected Scenario]))</f>
        <v>1.7999999999999999E-2</v>
      </c>
      <c r="CC16" s="31">
        <f>IF(CC$5="Actual",SUMIFS(tbl_model_feed_final[logo_churn_rate],tbl_model_feed_final[reporting_month_date],CC$4),_xlfn.XLOOKUP("Logo Churn",tbl_assumptions[Driver],tbl_assumptions[Selected Scenario]))</f>
        <v>1.7999999999999999E-2</v>
      </c>
      <c r="CD16" s="31">
        <f>IF(CD$5="Actual",SUMIFS(tbl_model_feed_final[logo_churn_rate],tbl_model_feed_final[reporting_month_date],CD$4),_xlfn.XLOOKUP("Logo Churn",tbl_assumptions[Driver],tbl_assumptions[Selected Scenario]))</f>
        <v>1.7999999999999999E-2</v>
      </c>
      <c r="CE16" s="31">
        <f>IF(CE$5="Actual",SUMIFS(tbl_model_feed_final[logo_churn_rate],tbl_model_feed_final[reporting_month_date],CE$4),_xlfn.XLOOKUP("Logo Churn",tbl_assumptions[Driver],tbl_assumptions[Selected Scenario]))</f>
        <v>1.7999999999999999E-2</v>
      </c>
      <c r="CF16" s="31">
        <f>IF(CF$5="Actual",SUMIFS(tbl_model_feed_final[logo_churn_rate],tbl_model_feed_final[reporting_month_date],CF$4),_xlfn.XLOOKUP("Logo Churn",tbl_assumptions[Driver],tbl_assumptions[Selected Scenario]))</f>
        <v>1.7999999999999999E-2</v>
      </c>
      <c r="CG16" s="31">
        <f>IF(CG$5="Actual",SUMIFS(tbl_model_feed_final[logo_churn_rate],tbl_model_feed_final[reporting_month_date],CG$4),_xlfn.XLOOKUP("Logo Churn",tbl_assumptions[Driver],tbl_assumptions[Selected Scenario]))</f>
        <v>1.7999999999999999E-2</v>
      </c>
    </row>
    <row r="17" spans="1:85" x14ac:dyDescent="0.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182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7"/>
    </row>
    <row r="18" spans="1:85" x14ac:dyDescent="0.3">
      <c r="A18" s="23" t="s">
        <v>30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5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</row>
    <row r="19" spans="1:85" x14ac:dyDescent="0.3">
      <c r="A19" s="26" t="s">
        <v>1</v>
      </c>
      <c r="B19" s="27">
        <f>IF(B$5="Actual",SUMIFS(tbl_model_feed_final[payroll_cost_gbp],tbl_model_feed_final[reporting_month_date],B$4)/'02_Control'!$B$18,"")</f>
        <v>4641129.1000000006</v>
      </c>
      <c r="C19" s="27">
        <f>IF(C$5="Actual",SUMIFS(tbl_model_feed_final[payroll_cost_gbp],tbl_model_feed_final[reporting_month_date],C$4)/'02_Control'!$B$18,"")</f>
        <v>4731102.6499999994</v>
      </c>
      <c r="D19" s="27">
        <f>IF(D$5="Actual",SUMIFS(tbl_model_feed_final[payroll_cost_gbp],tbl_model_feed_final[reporting_month_date],D$4)/'02_Control'!$B$18,"")</f>
        <v>4807431.4200000009</v>
      </c>
      <c r="E19" s="27">
        <f>IF(E$5="Actual",SUMIFS(tbl_model_feed_final[payroll_cost_gbp],tbl_model_feed_final[reporting_month_date],E$4)/'02_Control'!$B$18,"")</f>
        <v>4868707.2100000009</v>
      </c>
      <c r="F19" s="27">
        <f>IF(F$5="Actual",SUMIFS(tbl_model_feed_final[payroll_cost_gbp],tbl_model_feed_final[reporting_month_date],F$4)/'02_Control'!$B$18,"")</f>
        <v>4929130.58</v>
      </c>
      <c r="G19" s="27">
        <f>IF(G$5="Actual",SUMIFS(tbl_model_feed_final[payroll_cost_gbp],tbl_model_feed_final[reporting_month_date],G$4)/'02_Control'!$B$18,"")</f>
        <v>4974433.37</v>
      </c>
      <c r="H19" s="27">
        <f>IF(H$5="Actual",SUMIFS(tbl_model_feed_final[payroll_cost_gbp],tbl_model_feed_final[reporting_month_date],H$4)/'02_Control'!$B$18,"")</f>
        <v>5078536.9500000011</v>
      </c>
      <c r="I19" s="27">
        <f>IF(I$5="Actual",SUMIFS(tbl_model_feed_final[payroll_cost_gbp],tbl_model_feed_final[reporting_month_date],I$4)/'02_Control'!$B$18,"")</f>
        <v>5101870.17</v>
      </c>
      <c r="J19" s="27">
        <f>IF(J$5="Actual",SUMIFS(tbl_model_feed_final[payroll_cost_gbp],tbl_model_feed_final[reporting_month_date],J$4)/'02_Control'!$B$18,"")</f>
        <v>5180494.3099999996</v>
      </c>
      <c r="K19" s="27">
        <f>IF(K$5="Actual",SUMIFS(tbl_model_feed_final[payroll_cost_gbp],tbl_model_feed_final[reporting_month_date],K$4)/'02_Control'!$B$18,"")</f>
        <v>5252380.18</v>
      </c>
      <c r="L19" s="27">
        <f>IF(L$5="Actual",SUMIFS(tbl_model_feed_final[payroll_cost_gbp],tbl_model_feed_final[reporting_month_date],L$4)/'02_Control'!$B$18,"")</f>
        <v>5366818.25</v>
      </c>
      <c r="M19" s="27">
        <f>IF(M$5="Actual",SUMIFS(tbl_model_feed_final[payroll_cost_gbp],tbl_model_feed_final[reporting_month_date],M$4)/'02_Control'!$B$18,"")</f>
        <v>5390038.7999999998</v>
      </c>
      <c r="N19" s="27">
        <f>IF(N$5="Actual",SUMIFS(tbl_model_feed_final[payroll_cost_gbp],tbl_model_feed_final[reporting_month_date],N$4)/'02_Control'!$B$18,"")</f>
        <v>5441776.8500000006</v>
      </c>
      <c r="O19" s="27">
        <f>IF(O$5="Actual",SUMIFS(tbl_model_feed_final[payroll_cost_gbp],tbl_model_feed_final[reporting_month_date],O$4)/'02_Control'!$B$18,"")</f>
        <v>5549098.9000000004</v>
      </c>
      <c r="P19" s="27">
        <f>IF(P$5="Actual",SUMIFS(tbl_model_feed_final[payroll_cost_gbp],tbl_model_feed_final[reporting_month_date],P$4)/'02_Control'!$B$18,"")</f>
        <v>5583951.7800000003</v>
      </c>
      <c r="Q19" s="27">
        <f>IF(Q$5="Actual",SUMIFS(tbl_model_feed_final[payroll_cost_gbp],tbl_model_feed_final[reporting_month_date],Q$4)/'02_Control'!$B$18,"")</f>
        <v>5651568.6500000004</v>
      </c>
      <c r="R19" s="27">
        <f>IF(R$5="Actual",SUMIFS(tbl_model_feed_final[payroll_cost_gbp],tbl_model_feed_final[reporting_month_date],R$4)/'02_Control'!$B$18,"")</f>
        <v>5807352.8200000003</v>
      </c>
      <c r="S19" s="27">
        <f>IF(S$5="Actual",SUMIFS(tbl_model_feed_final[payroll_cost_gbp],tbl_model_feed_final[reporting_month_date],S$4)/'02_Control'!$B$18,"")</f>
        <v>5904117.4299999997</v>
      </c>
      <c r="T19" s="27">
        <f>IF(T$5="Actual",SUMIFS(tbl_model_feed_final[payroll_cost_gbp],tbl_model_feed_final[reporting_month_date],T$4)/'02_Control'!$B$18,"")</f>
        <v>5952167.6600000001</v>
      </c>
      <c r="U19" s="27">
        <f>IF(U$5="Actual",SUMIFS(tbl_model_feed_final[payroll_cost_gbp],tbl_model_feed_final[reporting_month_date],U$4)/'02_Control'!$B$18,"")</f>
        <v>6093331.830000001</v>
      </c>
      <c r="V19" s="27">
        <f>IF(V$5="Actual",SUMIFS(tbl_model_feed_final[payroll_cost_gbp],tbl_model_feed_final[reporting_month_date],V$4)/'02_Control'!$B$18,"")</f>
        <v>6263049.2199999997</v>
      </c>
      <c r="W19" s="27">
        <f>IF(W$5="Actual",SUMIFS(tbl_model_feed_final[payroll_cost_gbp],tbl_model_feed_final[reporting_month_date],W$4)/'02_Control'!$B$18,"")</f>
        <v>6330825.9299999997</v>
      </c>
      <c r="X19" s="27">
        <f>IF(X$5="Actual",SUMIFS(tbl_model_feed_final[payroll_cost_gbp],tbl_model_feed_final[reporting_month_date],X$4)/'02_Control'!$B$18,"")</f>
        <v>6383200.4299999997</v>
      </c>
      <c r="Y19" s="27">
        <f>IF(Y$5="Actual",SUMIFS(tbl_model_feed_final[payroll_cost_gbp],tbl_model_feed_final[reporting_month_date],Y$4)/'02_Control'!$B$18,"")</f>
        <v>6471488.5699999994</v>
      </c>
      <c r="Z19" s="27">
        <f>IF(Z$5="Actual",SUMIFS(tbl_model_feed_final[payroll_cost_gbp],tbl_model_feed_final[reporting_month_date],Z$4)/'02_Control'!$B$18,"")</f>
        <v>6543292.5699999994</v>
      </c>
      <c r="AA19" s="27">
        <f>IF(AA$5="Actual",SUMIFS(tbl_model_feed_final[payroll_cost_gbp],tbl_model_feed_final[reporting_month_date],AA$4)/'02_Control'!$B$18,"")</f>
        <v>6555501.7699999996</v>
      </c>
      <c r="AB19" s="27">
        <f>IF(AB$5="Actual",SUMIFS(tbl_model_feed_final[payroll_cost_gbp],tbl_model_feed_final[reporting_month_date],AB$4)/'02_Control'!$B$18,"")</f>
        <v>6630713.8200000012</v>
      </c>
      <c r="AC19" s="27">
        <f>IF(AC$5="Actual",SUMIFS(tbl_model_feed_final[payroll_cost_gbp],tbl_model_feed_final[reporting_month_date],AC$4)/'02_Control'!$B$18,"")</f>
        <v>6707394.5600000005</v>
      </c>
      <c r="AD19" s="27">
        <f>IF(AD$5="Actual",SUMIFS(tbl_model_feed_final[payroll_cost_gbp],tbl_model_feed_final[reporting_month_date],AD$4)/'02_Control'!$B$18,"")</f>
        <v>6847152.3900000006</v>
      </c>
      <c r="AE19" s="27">
        <f>IF(AE$5="Actual",SUMIFS(tbl_model_feed_final[payroll_cost_gbp],tbl_model_feed_final[reporting_month_date],AE$4)/'02_Control'!$B$18,"")</f>
        <v>6984886.4199999999</v>
      </c>
      <c r="AF19" s="27">
        <f>IF(AF$5="Actual",SUMIFS(tbl_model_feed_final[payroll_cost_gbp],tbl_model_feed_final[reporting_month_date],AF$4)/'02_Control'!$B$18,"")</f>
        <v>7080832.7999999989</v>
      </c>
      <c r="AG19" s="27">
        <f>IF(AG$5="Actual",SUMIFS(tbl_model_feed_final[payroll_cost_gbp],tbl_model_feed_final[reporting_month_date],AG$4)/'02_Control'!$B$18,"")</f>
        <v>7173988.1500000004</v>
      </c>
      <c r="AH19" s="27">
        <f>IF(AH$5="Actual",SUMIFS(tbl_model_feed_final[payroll_cost_gbp],tbl_model_feed_final[reporting_month_date],AH$4)/'02_Control'!$B$18,"")</f>
        <v>7283674.1899999995</v>
      </c>
      <c r="AI19" s="27">
        <f>IF(AI$5="Actual",SUMIFS(tbl_model_feed_final[payroll_cost_gbp],tbl_model_feed_final[reporting_month_date],AI$4)/'02_Control'!$B$18,"")</f>
        <v>7354067.54</v>
      </c>
      <c r="AJ19" s="27">
        <f>IF(AJ$5="Actual",SUMIFS(tbl_model_feed_final[payroll_cost_gbp],tbl_model_feed_final[reporting_month_date],AJ$4)/'02_Control'!$B$18,"")</f>
        <v>7457923.1699999999</v>
      </c>
      <c r="AK19" s="27">
        <f>IF(AK$5="Actual",SUMIFS(tbl_model_feed_final[payroll_cost_gbp],tbl_model_feed_final[reporting_month_date],AK$4)/'02_Control'!$B$18,"")</f>
        <v>7533177.6399999987</v>
      </c>
      <c r="AL19" s="27">
        <f>IF(AL$5="Actual",SUMIFS(tbl_model_feed_final[payroll_cost_gbp],tbl_model_feed_final[reporting_month_date],AL$4)/'02_Control'!$B$18,"")</f>
        <v>7616787.2600000007</v>
      </c>
      <c r="AM19" s="27">
        <f>IF(AM$5="Actual",SUMIFS(tbl_model_feed_final[payroll_cost_gbp],tbl_model_feed_final[reporting_month_date],AM$4)/'02_Control'!$B$18,"")</f>
        <v>7615783.0899999999</v>
      </c>
      <c r="AN19" s="27">
        <f>IF(AN$5="Actual",SUMIFS(tbl_model_feed_final[payroll_cost_gbp],tbl_model_feed_final[reporting_month_date],AN$4)/'02_Control'!$B$18,"")</f>
        <v>7599129.6400000006</v>
      </c>
      <c r="AO19" s="27">
        <f>IF(AO$5="Actual",SUMIFS(tbl_model_feed_final[payroll_cost_gbp],tbl_model_feed_final[reporting_month_date],AO$4)/'02_Control'!$B$18,"")</f>
        <v>7618267.2399999993</v>
      </c>
      <c r="AP19" s="27">
        <f>IF(AP$5="Actual",SUMIFS(tbl_model_feed_final[payroll_cost_gbp],tbl_model_feed_final[reporting_month_date],AP$4)/'02_Control'!$B$18,"")</f>
        <v>7621982.7300000004</v>
      </c>
      <c r="AQ19" s="28">
        <f>IF(AQ$5="Actual",SUMIFS(tbl_model_feed_final[payroll_cost_gbp],tbl_model_feed_final[reporting_month_date],AQ$4)/'02_Control'!$B$18,"")</f>
        <v>7655791.1799999997</v>
      </c>
      <c r="AR19" s="27">
        <f>IF(AR$5="Actual",SUMIFS(tbl_model_feed_final[payroll_cost_gbp],tbl_model_feed_final[reporting_month_date],AR$4)/'02_Control'!$B$18,AQ19*(1+_xlfn.XLOOKUP("Payroll Growth %",tbl_assumptions[Driver],tbl_assumptions[Selected Scenario])))</f>
        <v>7732349.0917999996</v>
      </c>
      <c r="AS19" s="27">
        <f>IF(AS$5="Actual",SUMIFS(tbl_model_feed_final[payroll_cost_gbp],tbl_model_feed_final[reporting_month_date],AS$4)/'02_Control'!$B$18,AR19*(1+_xlfn.XLOOKUP("Payroll Growth %",tbl_assumptions[Driver],tbl_assumptions[Selected Scenario])))</f>
        <v>7809672.5827179998</v>
      </c>
      <c r="AT19" s="27">
        <f>IF(AT$5="Actual",SUMIFS(tbl_model_feed_final[payroll_cost_gbp],tbl_model_feed_final[reporting_month_date],AT$4)/'02_Control'!$B$18,AS19*(1+_xlfn.XLOOKUP("Payroll Growth %",tbl_assumptions[Driver],tbl_assumptions[Selected Scenario])))</f>
        <v>7887769.3085451797</v>
      </c>
      <c r="AU19" s="27">
        <f>IF(AU$5="Actual",SUMIFS(tbl_model_feed_final[payroll_cost_gbp],tbl_model_feed_final[reporting_month_date],AU$4)/'02_Control'!$B$18,AT19*(1+_xlfn.XLOOKUP("Payroll Growth %",tbl_assumptions[Driver],tbl_assumptions[Selected Scenario])))</f>
        <v>7966647.0016306313</v>
      </c>
      <c r="AV19" s="27">
        <f>IF(AV$5="Actual",SUMIFS(tbl_model_feed_final[payroll_cost_gbp],tbl_model_feed_final[reporting_month_date],AV$4)/'02_Control'!$B$18,AU19*(1+_xlfn.XLOOKUP("Payroll Growth %",tbl_assumptions[Driver],tbl_assumptions[Selected Scenario])))</f>
        <v>8046313.4716469375</v>
      </c>
      <c r="AW19" s="27">
        <f>IF(AW$5="Actual",SUMIFS(tbl_model_feed_final[payroll_cost_gbp],tbl_model_feed_final[reporting_month_date],AW$4)/'02_Control'!$B$18,AV19*(1+_xlfn.XLOOKUP("Payroll Growth %",tbl_assumptions[Driver],tbl_assumptions[Selected Scenario])))</f>
        <v>8126776.6063634073</v>
      </c>
      <c r="AX19" s="27">
        <f>IF(AX$5="Actual",SUMIFS(tbl_model_feed_final[payroll_cost_gbp],tbl_model_feed_final[reporting_month_date],AX$4)/'02_Control'!$B$18,AW19*(1+_xlfn.XLOOKUP("Payroll Growth %",tbl_assumptions[Driver],tbl_assumptions[Selected Scenario])))</f>
        <v>8208044.3724270416</v>
      </c>
      <c r="AY19" s="27">
        <f>IF(AY$5="Actual",SUMIFS(tbl_model_feed_final[payroll_cost_gbp],tbl_model_feed_final[reporting_month_date],AY$4)/'02_Control'!$B$18,AX19*(1+_xlfn.XLOOKUP("Payroll Growth %",tbl_assumptions[Driver],tbl_assumptions[Selected Scenario])))</f>
        <v>8290124.8161513126</v>
      </c>
      <c r="AZ19" s="27">
        <f>IF(AZ$5="Actual",SUMIFS(tbl_model_feed_final[payroll_cost_gbp],tbl_model_feed_final[reporting_month_date],AZ$4)/'02_Control'!$B$18,AY19*(1+_xlfn.XLOOKUP("Payroll Growth %",tbl_assumptions[Driver],tbl_assumptions[Selected Scenario])))</f>
        <v>8373026.0643128259</v>
      </c>
      <c r="BA19" s="27">
        <f>IF(BA$5="Actual",SUMIFS(tbl_model_feed_final[payroll_cost_gbp],tbl_model_feed_final[reporting_month_date],BA$4)/'02_Control'!$B$18,AZ19*(1+_xlfn.XLOOKUP("Payroll Growth %",tbl_assumptions[Driver],tbl_assumptions[Selected Scenario])))</f>
        <v>8456756.3249559551</v>
      </c>
      <c r="BB19" s="27">
        <f>IF(BB$5="Actual",SUMIFS(tbl_model_feed_final[payroll_cost_gbp],tbl_model_feed_final[reporting_month_date],BB$4)/'02_Control'!$B$18,BA19*(1+_xlfn.XLOOKUP("Payroll Growth %",tbl_assumptions[Driver],tbl_assumptions[Selected Scenario])))</f>
        <v>8541323.8882055152</v>
      </c>
      <c r="BC19" s="27">
        <f>IF(BC$5="Actual",SUMIFS(tbl_model_feed_final[payroll_cost_gbp],tbl_model_feed_final[reporting_month_date],BC$4)/'02_Control'!$B$18,BB19*(1+_xlfn.XLOOKUP("Payroll Growth %",tbl_assumptions[Driver],tbl_assumptions[Selected Scenario])))</f>
        <v>8626737.1270875707</v>
      </c>
      <c r="BD19" s="27">
        <f>IF(BD$5="Actual",SUMIFS(tbl_model_feed_final[payroll_cost_gbp],tbl_model_feed_final[reporting_month_date],BD$4)/'02_Control'!$B$18,BC19*(1+_xlfn.XLOOKUP("Payroll Growth %",tbl_assumptions[Driver],tbl_assumptions[Selected Scenario])))</f>
        <v>8713004.4983584471</v>
      </c>
      <c r="BE19" s="27">
        <f>IF(BE$5="Actual",SUMIFS(tbl_model_feed_final[payroll_cost_gbp],tbl_model_feed_final[reporting_month_date],BE$4)/'02_Control'!$B$18,BD19*(1+_xlfn.XLOOKUP("Payroll Growth %",tbl_assumptions[Driver],tbl_assumptions[Selected Scenario])))</f>
        <v>8800134.5433420315</v>
      </c>
      <c r="BF19" s="27">
        <f>IF(BF$5="Actual",SUMIFS(tbl_model_feed_final[payroll_cost_gbp],tbl_model_feed_final[reporting_month_date],BF$4)/'02_Control'!$B$18,BE19*(1+_xlfn.XLOOKUP("Payroll Growth %",tbl_assumptions[Driver],tbl_assumptions[Selected Scenario])))</f>
        <v>8888135.8887754511</v>
      </c>
      <c r="BG19" s="27">
        <f>IF(BG$5="Actual",SUMIFS(tbl_model_feed_final[payroll_cost_gbp],tbl_model_feed_final[reporting_month_date],BG$4)/'02_Control'!$B$18,BF19*(1+_xlfn.XLOOKUP("Payroll Growth %",tbl_assumptions[Driver],tbl_assumptions[Selected Scenario])))</f>
        <v>8977017.2476632055</v>
      </c>
      <c r="BH19" s="27">
        <f>IF(BH$5="Actual",SUMIFS(tbl_model_feed_final[payroll_cost_gbp],tbl_model_feed_final[reporting_month_date],BH$4)/'02_Control'!$B$18,BG19*(1+_xlfn.XLOOKUP("Payroll Growth %",tbl_assumptions[Driver],tbl_assumptions[Selected Scenario])))</f>
        <v>9066787.420139838</v>
      </c>
      <c r="BI19" s="27">
        <f>IF(BI$5="Actual",SUMIFS(tbl_model_feed_final[payroll_cost_gbp],tbl_model_feed_final[reporting_month_date],BI$4)/'02_Control'!$B$18,BH19*(1+_xlfn.XLOOKUP("Payroll Growth %",tbl_assumptions[Driver],tbl_assumptions[Selected Scenario])))</f>
        <v>9157455.2943412364</v>
      </c>
      <c r="BJ19" s="27">
        <f>IF(BJ$5="Actual",SUMIFS(tbl_model_feed_final[payroll_cost_gbp],tbl_model_feed_final[reporting_month_date],BJ$4)/'02_Control'!$B$18,BI19*(1+_xlfn.XLOOKUP("Payroll Growth %",tbl_assumptions[Driver],tbl_assumptions[Selected Scenario])))</f>
        <v>9249029.8472846486</v>
      </c>
      <c r="BK19" s="27">
        <f>IF(BK$5="Actual",SUMIFS(tbl_model_feed_final[payroll_cost_gbp],tbl_model_feed_final[reporting_month_date],BK$4)/'02_Control'!$B$18,BJ19*(1+_xlfn.XLOOKUP("Payroll Growth %",tbl_assumptions[Driver],tbl_assumptions[Selected Scenario])))</f>
        <v>9341520.1457574945</v>
      </c>
      <c r="BL19" s="27">
        <f>IF(BL$5="Actual",SUMIFS(tbl_model_feed_final[payroll_cost_gbp],tbl_model_feed_final[reporting_month_date],BL$4)/'02_Control'!$B$18,BK19*(1+_xlfn.XLOOKUP("Payroll Growth %",tbl_assumptions[Driver],tbl_assumptions[Selected Scenario])))</f>
        <v>9434935.3472150695</v>
      </c>
      <c r="BM19" s="27">
        <f>IF(BM$5="Actual",SUMIFS(tbl_model_feed_final[payroll_cost_gbp],tbl_model_feed_final[reporting_month_date],BM$4)/'02_Control'!$B$18,BL19*(1+_xlfn.XLOOKUP("Payroll Growth %",tbl_assumptions[Driver],tbl_assumptions[Selected Scenario])))</f>
        <v>9529284.7006872203</v>
      </c>
      <c r="BN19" s="27">
        <f>IF(BN$5="Actual",SUMIFS(tbl_model_feed_final[payroll_cost_gbp],tbl_model_feed_final[reporting_month_date],BN$4)/'02_Control'!$B$18,BM19*(1+_xlfn.XLOOKUP("Payroll Growth %",tbl_assumptions[Driver],tbl_assumptions[Selected Scenario])))</f>
        <v>9624577.5476940926</v>
      </c>
      <c r="BO19" s="27">
        <f>IF(BO$5="Actual",SUMIFS(tbl_model_feed_final[payroll_cost_gbp],tbl_model_feed_final[reporting_month_date],BO$4)/'02_Control'!$B$18,BN19*(1+_xlfn.XLOOKUP("Payroll Growth %",tbl_assumptions[Driver],tbl_assumptions[Selected Scenario])))</f>
        <v>9720823.3231710345</v>
      </c>
      <c r="BP19" s="27">
        <f>IF(BP$5="Actual",SUMIFS(tbl_model_feed_final[payroll_cost_gbp],tbl_model_feed_final[reporting_month_date],BP$4)/'02_Control'!$B$18,BO19*(1+_xlfn.XLOOKUP("Payroll Growth %",tbl_assumptions[Driver],tbl_assumptions[Selected Scenario])))</f>
        <v>9818031.5564027447</v>
      </c>
      <c r="BQ19" s="27">
        <f>IF(BQ$5="Actual",SUMIFS(tbl_model_feed_final[payroll_cost_gbp],tbl_model_feed_final[reporting_month_date],BQ$4)/'02_Control'!$B$18,BP19*(1+_xlfn.XLOOKUP("Payroll Growth %",tbl_assumptions[Driver],tbl_assumptions[Selected Scenario])))</f>
        <v>9916211.8719667718</v>
      </c>
      <c r="BR19" s="27">
        <f>IF(BR$5="Actual",SUMIFS(tbl_model_feed_final[payroll_cost_gbp],tbl_model_feed_final[reporting_month_date],BR$4)/'02_Control'!$B$18,BQ19*(1+_xlfn.XLOOKUP("Payroll Growth %",tbl_assumptions[Driver],tbl_assumptions[Selected Scenario])))</f>
        <v>10015373.990686439</v>
      </c>
      <c r="BS19" s="27">
        <f>IF(BS$5="Actual",SUMIFS(tbl_model_feed_final[payroll_cost_gbp],tbl_model_feed_final[reporting_month_date],BS$4)/'02_Control'!$B$18,BR19*(1+_xlfn.XLOOKUP("Payroll Growth %",tbl_assumptions[Driver],tbl_assumptions[Selected Scenario])))</f>
        <v>10115527.730593303</v>
      </c>
      <c r="BT19" s="27">
        <f>IF(BT$5="Actual",SUMIFS(tbl_model_feed_final[payroll_cost_gbp],tbl_model_feed_final[reporting_month_date],BT$4)/'02_Control'!$B$18,BS19*(1+_xlfn.XLOOKUP("Payroll Growth %",tbl_assumptions[Driver],tbl_assumptions[Selected Scenario])))</f>
        <v>10216683.007899236</v>
      </c>
      <c r="BU19" s="27">
        <f>IF(BU$5="Actual",SUMIFS(tbl_model_feed_final[payroll_cost_gbp],tbl_model_feed_final[reporting_month_date],BU$4)/'02_Control'!$B$18,BT19*(1+_xlfn.XLOOKUP("Payroll Growth %",tbl_assumptions[Driver],tbl_assumptions[Selected Scenario])))</f>
        <v>10318849.837978229</v>
      </c>
      <c r="BV19" s="27">
        <f>IF(BV$5="Actual",SUMIFS(tbl_model_feed_final[payroll_cost_gbp],tbl_model_feed_final[reporting_month_date],BV$4)/'02_Control'!$B$18,BU19*(1+_xlfn.XLOOKUP("Payroll Growth %",tbl_assumptions[Driver],tbl_assumptions[Selected Scenario])))</f>
        <v>10422038.336358011</v>
      </c>
      <c r="BW19" s="27">
        <f>IF(BW$5="Actual",SUMIFS(tbl_model_feed_final[payroll_cost_gbp],tbl_model_feed_final[reporting_month_date],BW$4)/'02_Control'!$B$18,BV19*(1+_xlfn.XLOOKUP("Payroll Growth %",tbl_assumptions[Driver],tbl_assumptions[Selected Scenario])))</f>
        <v>10526258.719721591</v>
      </c>
      <c r="BX19" s="27">
        <f>IF(BX$5="Actual",SUMIFS(tbl_model_feed_final[payroll_cost_gbp],tbl_model_feed_final[reporting_month_date],BX$4)/'02_Control'!$B$18,BW19*(1+_xlfn.XLOOKUP("Payroll Growth %",tbl_assumptions[Driver],tbl_assumptions[Selected Scenario])))</f>
        <v>10631521.306918807</v>
      </c>
      <c r="BY19" s="27">
        <f>IF(BY$5="Actual",SUMIFS(tbl_model_feed_final[payroll_cost_gbp],tbl_model_feed_final[reporting_month_date],BY$4)/'02_Control'!$B$18,BX19*(1+_xlfn.XLOOKUP("Payroll Growth %",tbl_assumptions[Driver],tbl_assumptions[Selected Scenario])))</f>
        <v>10737836.519987995</v>
      </c>
      <c r="BZ19" s="27">
        <f>IF(BZ$5="Actual",SUMIFS(tbl_model_feed_final[payroll_cost_gbp],tbl_model_feed_final[reporting_month_date],BZ$4)/'02_Control'!$B$18,BY19*(1+_xlfn.XLOOKUP("Payroll Growth %",tbl_assumptions[Driver],tbl_assumptions[Selected Scenario])))</f>
        <v>10845214.885187875</v>
      </c>
      <c r="CA19" s="27">
        <f>IF(CA$5="Actual",SUMIFS(tbl_model_feed_final[payroll_cost_gbp],tbl_model_feed_final[reporting_month_date],CA$4)/'02_Control'!$B$18,BZ19*(1+_xlfn.XLOOKUP("Payroll Growth %",tbl_assumptions[Driver],tbl_assumptions[Selected Scenario])))</f>
        <v>10953667.034039754</v>
      </c>
      <c r="CB19" s="27">
        <f>IF(CB$5="Actual",SUMIFS(tbl_model_feed_final[payroll_cost_gbp],tbl_model_feed_final[reporting_month_date],CB$4)/'02_Control'!$B$18,CA19*(1+_xlfn.XLOOKUP("Payroll Growth %",tbl_assumptions[Driver],tbl_assumptions[Selected Scenario])))</f>
        <v>11063203.704380153</v>
      </c>
      <c r="CC19" s="27">
        <f>IF(CC$5="Actual",SUMIFS(tbl_model_feed_final[payroll_cost_gbp],tbl_model_feed_final[reporting_month_date],CC$4)/'02_Control'!$B$18,CB19*(1+_xlfn.XLOOKUP("Payroll Growth %",tbl_assumptions[Driver],tbl_assumptions[Selected Scenario])))</f>
        <v>11173835.741423955</v>
      </c>
      <c r="CD19" s="27">
        <f>IF(CD$5="Actual",SUMIFS(tbl_model_feed_final[payroll_cost_gbp],tbl_model_feed_final[reporting_month_date],CD$4)/'02_Control'!$B$18,CC19*(1+_xlfn.XLOOKUP("Payroll Growth %",tbl_assumptions[Driver],tbl_assumptions[Selected Scenario])))</f>
        <v>11285574.098838195</v>
      </c>
      <c r="CE19" s="27">
        <f>IF(CE$5="Actual",SUMIFS(tbl_model_feed_final[payroll_cost_gbp],tbl_model_feed_final[reporting_month_date],CE$4)/'02_Control'!$B$18,CD19*(1+_xlfn.XLOOKUP("Payroll Growth %",tbl_assumptions[Driver],tbl_assumptions[Selected Scenario])))</f>
        <v>11398429.839826576</v>
      </c>
      <c r="CF19" s="27">
        <f>IF(CF$5="Actual",SUMIFS(tbl_model_feed_final[payroll_cost_gbp],tbl_model_feed_final[reporting_month_date],CF$4)/'02_Control'!$B$18,CE19*(1+_xlfn.XLOOKUP("Payroll Growth %",tbl_assumptions[Driver],tbl_assumptions[Selected Scenario])))</f>
        <v>11512414.138224842</v>
      </c>
      <c r="CG19" s="27">
        <f>IF(CG$5="Actual",SUMIFS(tbl_model_feed_final[payroll_cost_gbp],tbl_model_feed_final[reporting_month_date],CG$4)/'02_Control'!$B$18,CF19*(1+_xlfn.XLOOKUP("Payroll Growth %",tbl_assumptions[Driver],tbl_assumptions[Selected Scenario])))</f>
        <v>11627538.279607091</v>
      </c>
    </row>
    <row r="20" spans="1:85" x14ac:dyDescent="0.3">
      <c r="A20" s="26" t="s">
        <v>134</v>
      </c>
      <c r="B20" s="29">
        <f>IF(B$5="Actual",SUMIFS(tbl_model_feed_final[ap_invoice_spend_gbp],tbl_model_feed_final[reporting_month_date],B$4)/'02_Control'!$B$18,"")</f>
        <v>291150.19</v>
      </c>
      <c r="C20" s="29">
        <f>IF(C$5="Actual",SUMIFS(tbl_model_feed_final[ap_invoice_spend_gbp],tbl_model_feed_final[reporting_month_date],C$4)/'02_Control'!$B$18,"")</f>
        <v>658218.22</v>
      </c>
      <c r="D20" s="29">
        <f>IF(D$5="Actual",SUMIFS(tbl_model_feed_final[ap_invoice_spend_gbp],tbl_model_feed_final[reporting_month_date],D$4)/'02_Control'!$B$18,"")</f>
        <v>560331.14999999991</v>
      </c>
      <c r="E20" s="29">
        <f>IF(E$5="Actual",SUMIFS(tbl_model_feed_final[ap_invoice_spend_gbp],tbl_model_feed_final[reporting_month_date],E$4)/'02_Control'!$B$18,"")</f>
        <v>755499.01</v>
      </c>
      <c r="F20" s="29">
        <f>IF(F$5="Actual",SUMIFS(tbl_model_feed_final[ap_invoice_spend_gbp],tbl_model_feed_final[reporting_month_date],F$4)/'02_Control'!$B$18,"")</f>
        <v>519926.93</v>
      </c>
      <c r="G20" s="29">
        <f>IF(G$5="Actual",SUMIFS(tbl_model_feed_final[ap_invoice_spend_gbp],tbl_model_feed_final[reporting_month_date],G$4)/'02_Control'!$B$18,"")</f>
        <v>679161.62000000011</v>
      </c>
      <c r="H20" s="29">
        <f>IF(H$5="Actual",SUMIFS(tbl_model_feed_final[ap_invoice_spend_gbp],tbl_model_feed_final[reporting_month_date],H$4)/'02_Control'!$B$18,"")</f>
        <v>588706.85000000009</v>
      </c>
      <c r="I20" s="29">
        <f>IF(I$5="Actual",SUMIFS(tbl_model_feed_final[ap_invoice_spend_gbp],tbl_model_feed_final[reporting_month_date],I$4)/'02_Control'!$B$18,"")</f>
        <v>863983.55999999994</v>
      </c>
      <c r="J20" s="29">
        <f>IF(J$5="Actual",SUMIFS(tbl_model_feed_final[ap_invoice_spend_gbp],tbl_model_feed_final[reporting_month_date],J$4)/'02_Control'!$B$18,"")</f>
        <v>360866.05</v>
      </c>
      <c r="K20" s="29">
        <f>IF(K$5="Actual",SUMIFS(tbl_model_feed_final[ap_invoice_spend_gbp],tbl_model_feed_final[reporting_month_date],K$4)/'02_Control'!$B$18,"")</f>
        <v>593476.80000000005</v>
      </c>
      <c r="L20" s="29">
        <f>IF(L$5="Actual",SUMIFS(tbl_model_feed_final[ap_invoice_spend_gbp],tbl_model_feed_final[reporting_month_date],L$4)/'02_Control'!$B$18,"")</f>
        <v>592750.93000000017</v>
      </c>
      <c r="M20" s="29">
        <f>IF(M$5="Actual",SUMIFS(tbl_model_feed_final[ap_invoice_spend_gbp],tbl_model_feed_final[reporting_month_date],M$4)/'02_Control'!$B$18,"")</f>
        <v>469030.83000000007</v>
      </c>
      <c r="N20" s="29">
        <f>IF(N$5="Actual",SUMIFS(tbl_model_feed_final[ap_invoice_spend_gbp],tbl_model_feed_final[reporting_month_date],N$4)/'02_Control'!$B$18,"")</f>
        <v>585100.15</v>
      </c>
      <c r="O20" s="29">
        <f>IF(O$5="Actual",SUMIFS(tbl_model_feed_final[ap_invoice_spend_gbp],tbl_model_feed_final[reporting_month_date],O$4)/'02_Control'!$B$18,"")</f>
        <v>707690.68000000017</v>
      </c>
      <c r="P20" s="29">
        <f>IF(P$5="Actual",SUMIFS(tbl_model_feed_final[ap_invoice_spend_gbp],tbl_model_feed_final[reporting_month_date],P$4)/'02_Control'!$B$18,"")</f>
        <v>602641.83000000007</v>
      </c>
      <c r="Q20" s="29">
        <f>IF(Q$5="Actual",SUMIFS(tbl_model_feed_final[ap_invoice_spend_gbp],tbl_model_feed_final[reporting_month_date],Q$4)/'02_Control'!$B$18,"")</f>
        <v>332430.28999999998</v>
      </c>
      <c r="R20" s="29">
        <f>IF(R$5="Actual",SUMIFS(tbl_model_feed_final[ap_invoice_spend_gbp],tbl_model_feed_final[reporting_month_date],R$4)/'02_Control'!$B$18,"")</f>
        <v>763558.66999999981</v>
      </c>
      <c r="S20" s="29">
        <f>IF(S$5="Actual",SUMIFS(tbl_model_feed_final[ap_invoice_spend_gbp],tbl_model_feed_final[reporting_month_date],S$4)/'02_Control'!$B$18,"")</f>
        <v>494151.43999999994</v>
      </c>
      <c r="T20" s="29">
        <f>IF(T$5="Actual",SUMIFS(tbl_model_feed_final[ap_invoice_spend_gbp],tbl_model_feed_final[reporting_month_date],T$4)/'02_Control'!$B$18,"")</f>
        <v>416497.7300000001</v>
      </c>
      <c r="U20" s="29">
        <f>IF(U$5="Actual",SUMIFS(tbl_model_feed_final[ap_invoice_spend_gbp],tbl_model_feed_final[reporting_month_date],U$4)/'02_Control'!$B$18,"")</f>
        <v>506831.55</v>
      </c>
      <c r="V20" s="29">
        <f>IF(V$5="Actual",SUMIFS(tbl_model_feed_final[ap_invoice_spend_gbp],tbl_model_feed_final[reporting_month_date],V$4)/'02_Control'!$B$18,"")</f>
        <v>561291</v>
      </c>
      <c r="W20" s="29">
        <f>IF(W$5="Actual",SUMIFS(tbl_model_feed_final[ap_invoice_spend_gbp],tbl_model_feed_final[reporting_month_date],W$4)/'02_Control'!$B$18,"")</f>
        <v>489023.43</v>
      </c>
      <c r="X20" s="29">
        <f>IF(X$5="Actual",SUMIFS(tbl_model_feed_final[ap_invoice_spend_gbp],tbl_model_feed_final[reporting_month_date],X$4)/'02_Control'!$B$18,"")</f>
        <v>720788.67</v>
      </c>
      <c r="Y20" s="29">
        <f>IF(Y$5="Actual",SUMIFS(tbl_model_feed_final[ap_invoice_spend_gbp],tbl_model_feed_final[reporting_month_date],Y$4)/'02_Control'!$B$18,"")</f>
        <v>674099.77</v>
      </c>
      <c r="Z20" s="29">
        <f>IF(Z$5="Actual",SUMIFS(tbl_model_feed_final[ap_invoice_spend_gbp],tbl_model_feed_final[reporting_month_date],Z$4)/'02_Control'!$B$18,"")</f>
        <v>486151.93</v>
      </c>
      <c r="AA20" s="29">
        <f>IF(AA$5="Actual",SUMIFS(tbl_model_feed_final[ap_invoice_spend_gbp],tbl_model_feed_final[reporting_month_date],AA$4)/'02_Control'!$B$18,"")</f>
        <v>441214.71999999997</v>
      </c>
      <c r="AB20" s="29">
        <f>IF(AB$5="Actual",SUMIFS(tbl_model_feed_final[ap_invoice_spend_gbp],tbl_model_feed_final[reporting_month_date],AB$4)/'02_Control'!$B$18,"")</f>
        <v>600191.23</v>
      </c>
      <c r="AC20" s="29">
        <f>IF(AC$5="Actual",SUMIFS(tbl_model_feed_final[ap_invoice_spend_gbp],tbl_model_feed_final[reporting_month_date],AC$4)/'02_Control'!$B$18,"")</f>
        <v>491036.46</v>
      </c>
      <c r="AD20" s="29">
        <f>IF(AD$5="Actual",SUMIFS(tbl_model_feed_final[ap_invoice_spend_gbp],tbl_model_feed_final[reporting_month_date],AD$4)/'02_Control'!$B$18,"")</f>
        <v>644955.55999999994</v>
      </c>
      <c r="AE20" s="29">
        <f>IF(AE$5="Actual",SUMIFS(tbl_model_feed_final[ap_invoice_spend_gbp],tbl_model_feed_final[reporting_month_date],AE$4)/'02_Control'!$B$18,"")</f>
        <v>576153.92000000004</v>
      </c>
      <c r="AF20" s="29">
        <f>IF(AF$5="Actual",SUMIFS(tbl_model_feed_final[ap_invoice_spend_gbp],tbl_model_feed_final[reporting_month_date],AF$4)/'02_Control'!$B$18,"")</f>
        <v>948733.53</v>
      </c>
      <c r="AG20" s="29">
        <f>IF(AG$5="Actual",SUMIFS(tbl_model_feed_final[ap_invoice_spend_gbp],tbl_model_feed_final[reporting_month_date],AG$4)/'02_Control'!$B$18,"")</f>
        <v>489001.28</v>
      </c>
      <c r="AH20" s="29">
        <f>IF(AH$5="Actual",SUMIFS(tbl_model_feed_final[ap_invoice_spend_gbp],tbl_model_feed_final[reporting_month_date],AH$4)/'02_Control'!$B$18,"")</f>
        <v>695718.92999999993</v>
      </c>
      <c r="AI20" s="29">
        <f>IF(AI$5="Actual",SUMIFS(tbl_model_feed_final[ap_invoice_spend_gbp],tbl_model_feed_final[reporting_month_date],AI$4)/'02_Control'!$B$18,"")</f>
        <v>785998.78999999992</v>
      </c>
      <c r="AJ20" s="29">
        <f>IF(AJ$5="Actual",SUMIFS(tbl_model_feed_final[ap_invoice_spend_gbp],tbl_model_feed_final[reporting_month_date],AJ$4)/'02_Control'!$B$18,"")</f>
        <v>517771.77999999997</v>
      </c>
      <c r="AK20" s="29">
        <f>IF(AK$5="Actual",SUMIFS(tbl_model_feed_final[ap_invoice_spend_gbp],tbl_model_feed_final[reporting_month_date],AK$4)/'02_Control'!$B$18,"")</f>
        <v>850105.36</v>
      </c>
      <c r="AL20" s="29">
        <f>IF(AL$5="Actual",SUMIFS(tbl_model_feed_final[ap_invoice_spend_gbp],tbl_model_feed_final[reporting_month_date],AL$4)/'02_Control'!$B$18,"")</f>
        <v>690369.62</v>
      </c>
      <c r="AM20" s="29">
        <f>IF(AM$5="Actual",SUMIFS(tbl_model_feed_final[ap_invoice_spend_gbp],tbl_model_feed_final[reporting_month_date],AM$4)/'02_Control'!$B$18,"")</f>
        <v>603062.85</v>
      </c>
      <c r="AN20" s="29">
        <f>IF(AN$5="Actual",SUMIFS(tbl_model_feed_final[ap_invoice_spend_gbp],tbl_model_feed_final[reporting_month_date],AN$4)/'02_Control'!$B$18,"")</f>
        <v>666471.06999999983</v>
      </c>
      <c r="AO20" s="29">
        <f>IF(AO$5="Actual",SUMIFS(tbl_model_feed_final[ap_invoice_spend_gbp],tbl_model_feed_final[reporting_month_date],AO$4)/'02_Control'!$B$18,"")</f>
        <v>723987.73999999987</v>
      </c>
      <c r="AP20" s="29">
        <f>IF(AP$5="Actual",SUMIFS(tbl_model_feed_final[ap_invoice_spend_gbp],tbl_model_feed_final[reporting_month_date],AP$4)/'02_Control'!$B$18,"")</f>
        <v>617207.43999999994</v>
      </c>
      <c r="AQ20" s="30">
        <f>IF(AQ$5="Actual",SUMIFS(tbl_model_feed_final[ap_invoice_spend_gbp],tbl_model_feed_final[reporting_month_date],AQ$4)/'02_Control'!$B$18,"")</f>
        <v>77774.25</v>
      </c>
      <c r="AR20" s="29">
        <f>IF(AR$5="Actual",SUMIFS(tbl_model_feed_final[ap_invoice_spend_gbp],tbl_model_feed_final[reporting_month_date],AR$4)/'02_Control'!$B$18,AQ20*(1+_xlfn.XLOOKUP("AP Spend Growth %",tbl_assumptions[Driver],tbl_assumptions[Selected Scenario])))</f>
        <v>78396.444000000003</v>
      </c>
      <c r="AS20" s="29">
        <f>IF(AS$5="Actual",SUMIFS(tbl_model_feed_final[ap_invoice_spend_gbp],tbl_model_feed_final[reporting_month_date],AS$4)/'02_Control'!$B$18,AR20*(1+_xlfn.XLOOKUP("AP Spend Growth %",tbl_assumptions[Driver],tbl_assumptions[Selected Scenario])))</f>
        <v>79023.615552000003</v>
      </c>
      <c r="AT20" s="29">
        <f>IF(AT$5="Actual",SUMIFS(tbl_model_feed_final[ap_invoice_spend_gbp],tbl_model_feed_final[reporting_month_date],AT$4)/'02_Control'!$B$18,AS20*(1+_xlfn.XLOOKUP("AP Spend Growth %",tbl_assumptions[Driver],tbl_assumptions[Selected Scenario])))</f>
        <v>79655.804476416</v>
      </c>
      <c r="AU20" s="29">
        <f>IF(AU$5="Actual",SUMIFS(tbl_model_feed_final[ap_invoice_spend_gbp],tbl_model_feed_final[reporting_month_date],AU$4)/'02_Control'!$B$18,AT20*(1+_xlfn.XLOOKUP("AP Spend Growth %",tbl_assumptions[Driver],tbl_assumptions[Selected Scenario])))</f>
        <v>80293.050912227336</v>
      </c>
      <c r="AV20" s="29">
        <f>IF(AV$5="Actual",SUMIFS(tbl_model_feed_final[ap_invoice_spend_gbp],tbl_model_feed_final[reporting_month_date],AV$4)/'02_Control'!$B$18,AU20*(1+_xlfn.XLOOKUP("AP Spend Growth %",tbl_assumptions[Driver],tbl_assumptions[Selected Scenario])))</f>
        <v>80935.395319525152</v>
      </c>
      <c r="AW20" s="29">
        <f>IF(AW$5="Actual",SUMIFS(tbl_model_feed_final[ap_invoice_spend_gbp],tbl_model_feed_final[reporting_month_date],AW$4)/'02_Control'!$B$18,AV20*(1+_xlfn.XLOOKUP("AP Spend Growth %",tbl_assumptions[Driver],tbl_assumptions[Selected Scenario])))</f>
        <v>81582.87848208136</v>
      </c>
      <c r="AX20" s="29">
        <f>IF(AX$5="Actual",SUMIFS(tbl_model_feed_final[ap_invoice_spend_gbp],tbl_model_feed_final[reporting_month_date],AX$4)/'02_Control'!$B$18,AW20*(1+_xlfn.XLOOKUP("AP Spend Growth %",tbl_assumptions[Driver],tbl_assumptions[Selected Scenario])))</f>
        <v>82235.541509938004</v>
      </c>
      <c r="AY20" s="29">
        <f>IF(AY$5="Actual",SUMIFS(tbl_model_feed_final[ap_invoice_spend_gbp],tbl_model_feed_final[reporting_month_date],AY$4)/'02_Control'!$B$18,AX20*(1+_xlfn.XLOOKUP("AP Spend Growth %",tbl_assumptions[Driver],tbl_assumptions[Selected Scenario])))</f>
        <v>82893.425842017503</v>
      </c>
      <c r="AZ20" s="29">
        <f>IF(AZ$5="Actual",SUMIFS(tbl_model_feed_final[ap_invoice_spend_gbp],tbl_model_feed_final[reporting_month_date],AZ$4)/'02_Control'!$B$18,AY20*(1+_xlfn.XLOOKUP("AP Spend Growth %",tbl_assumptions[Driver],tbl_assumptions[Selected Scenario])))</f>
        <v>83556.573248753644</v>
      </c>
      <c r="BA20" s="29">
        <f>IF(BA$5="Actual",SUMIFS(tbl_model_feed_final[ap_invoice_spend_gbp],tbl_model_feed_final[reporting_month_date],BA$4)/'02_Control'!$B$18,AZ20*(1+_xlfn.XLOOKUP("AP Spend Growth %",tbl_assumptions[Driver],tbl_assumptions[Selected Scenario])))</f>
        <v>84225.025834743676</v>
      </c>
      <c r="BB20" s="29">
        <f>IF(BB$5="Actual",SUMIFS(tbl_model_feed_final[ap_invoice_spend_gbp],tbl_model_feed_final[reporting_month_date],BB$4)/'02_Control'!$B$18,BA20*(1+_xlfn.XLOOKUP("AP Spend Growth %",tbl_assumptions[Driver],tbl_assumptions[Selected Scenario])))</f>
        <v>84898.82604142162</v>
      </c>
      <c r="BC20" s="29">
        <f>IF(BC$5="Actual",SUMIFS(tbl_model_feed_final[ap_invoice_spend_gbp],tbl_model_feed_final[reporting_month_date],BC$4)/'02_Control'!$B$18,BB20*(1+_xlfn.XLOOKUP("AP Spend Growth %",tbl_assumptions[Driver],tbl_assumptions[Selected Scenario])))</f>
        <v>85578.016649753001</v>
      </c>
      <c r="BD20" s="29">
        <f>IF(BD$5="Actual",SUMIFS(tbl_model_feed_final[ap_invoice_spend_gbp],tbl_model_feed_final[reporting_month_date],BD$4)/'02_Control'!$B$18,BC20*(1+_xlfn.XLOOKUP("AP Spend Growth %",tbl_assumptions[Driver],tbl_assumptions[Selected Scenario])))</f>
        <v>86262.640782951028</v>
      </c>
      <c r="BE20" s="29">
        <f>IF(BE$5="Actual",SUMIFS(tbl_model_feed_final[ap_invoice_spend_gbp],tbl_model_feed_final[reporting_month_date],BE$4)/'02_Control'!$B$18,BD20*(1+_xlfn.XLOOKUP("AP Spend Growth %",tbl_assumptions[Driver],tbl_assumptions[Selected Scenario])))</f>
        <v>86952.74190921463</v>
      </c>
      <c r="BF20" s="29">
        <f>IF(BF$5="Actual",SUMIFS(tbl_model_feed_final[ap_invoice_spend_gbp],tbl_model_feed_final[reporting_month_date],BF$4)/'02_Control'!$B$18,BE20*(1+_xlfn.XLOOKUP("AP Spend Growth %",tbl_assumptions[Driver],tbl_assumptions[Selected Scenario])))</f>
        <v>87648.363844488355</v>
      </c>
      <c r="BG20" s="29">
        <f>IF(BG$5="Actual",SUMIFS(tbl_model_feed_final[ap_invoice_spend_gbp],tbl_model_feed_final[reporting_month_date],BG$4)/'02_Control'!$B$18,BF20*(1+_xlfn.XLOOKUP("AP Spend Growth %",tbl_assumptions[Driver],tbl_assumptions[Selected Scenario])))</f>
        <v>88349.550755244258</v>
      </c>
      <c r="BH20" s="29">
        <f>IF(BH$5="Actual",SUMIFS(tbl_model_feed_final[ap_invoice_spend_gbp],tbl_model_feed_final[reporting_month_date],BH$4)/'02_Control'!$B$18,BG20*(1+_xlfn.XLOOKUP("AP Spend Growth %",tbl_assumptions[Driver],tbl_assumptions[Selected Scenario])))</f>
        <v>89056.347161286219</v>
      </c>
      <c r="BI20" s="29">
        <f>IF(BI$5="Actual",SUMIFS(tbl_model_feed_final[ap_invoice_spend_gbp],tbl_model_feed_final[reporting_month_date],BI$4)/'02_Control'!$B$18,BH20*(1+_xlfn.XLOOKUP("AP Spend Growth %",tbl_assumptions[Driver],tbl_assumptions[Selected Scenario])))</f>
        <v>89768.797938576507</v>
      </c>
      <c r="BJ20" s="29">
        <f>IF(BJ$5="Actual",SUMIFS(tbl_model_feed_final[ap_invoice_spend_gbp],tbl_model_feed_final[reporting_month_date],BJ$4)/'02_Control'!$B$18,BI20*(1+_xlfn.XLOOKUP("AP Spend Growth %",tbl_assumptions[Driver],tbl_assumptions[Selected Scenario])))</f>
        <v>90486.948322085125</v>
      </c>
      <c r="BK20" s="29">
        <f>IF(BK$5="Actual",SUMIFS(tbl_model_feed_final[ap_invoice_spend_gbp],tbl_model_feed_final[reporting_month_date],BK$4)/'02_Control'!$B$18,BJ20*(1+_xlfn.XLOOKUP("AP Spend Growth %",tbl_assumptions[Driver],tbl_assumptions[Selected Scenario])))</f>
        <v>91210.843908661802</v>
      </c>
      <c r="BL20" s="29">
        <f>IF(BL$5="Actual",SUMIFS(tbl_model_feed_final[ap_invoice_spend_gbp],tbl_model_feed_final[reporting_month_date],BL$4)/'02_Control'!$B$18,BK20*(1+_xlfn.XLOOKUP("AP Spend Growth %",tbl_assumptions[Driver],tbl_assumptions[Selected Scenario])))</f>
        <v>91940.530659931101</v>
      </c>
      <c r="BM20" s="29">
        <f>IF(BM$5="Actual",SUMIFS(tbl_model_feed_final[ap_invoice_spend_gbp],tbl_model_feed_final[reporting_month_date],BM$4)/'02_Control'!$B$18,BL20*(1+_xlfn.XLOOKUP("AP Spend Growth %",tbl_assumptions[Driver],tbl_assumptions[Selected Scenario])))</f>
        <v>92676.054905210549</v>
      </c>
      <c r="BN20" s="29">
        <f>IF(BN$5="Actual",SUMIFS(tbl_model_feed_final[ap_invoice_spend_gbp],tbl_model_feed_final[reporting_month_date],BN$4)/'02_Control'!$B$18,BM20*(1+_xlfn.XLOOKUP("AP Spend Growth %",tbl_assumptions[Driver],tbl_assumptions[Selected Scenario])))</f>
        <v>93417.463344452233</v>
      </c>
      <c r="BO20" s="29">
        <f>IF(BO$5="Actual",SUMIFS(tbl_model_feed_final[ap_invoice_spend_gbp],tbl_model_feed_final[reporting_month_date],BO$4)/'02_Control'!$B$18,BN20*(1+_xlfn.XLOOKUP("AP Spend Growth %",tbl_assumptions[Driver],tbl_assumptions[Selected Scenario])))</f>
        <v>94164.803051207855</v>
      </c>
      <c r="BP20" s="29">
        <f>IF(BP$5="Actual",SUMIFS(tbl_model_feed_final[ap_invoice_spend_gbp],tbl_model_feed_final[reporting_month_date],BP$4)/'02_Control'!$B$18,BO20*(1+_xlfn.XLOOKUP("AP Spend Growth %",tbl_assumptions[Driver],tbl_assumptions[Selected Scenario])))</f>
        <v>94918.121475617518</v>
      </c>
      <c r="BQ20" s="29">
        <f>IF(BQ$5="Actual",SUMIFS(tbl_model_feed_final[ap_invoice_spend_gbp],tbl_model_feed_final[reporting_month_date],BQ$4)/'02_Control'!$B$18,BP20*(1+_xlfn.XLOOKUP("AP Spend Growth %",tbl_assumptions[Driver],tbl_assumptions[Selected Scenario])))</f>
        <v>95677.466447422456</v>
      </c>
      <c r="BR20" s="29">
        <f>IF(BR$5="Actual",SUMIFS(tbl_model_feed_final[ap_invoice_spend_gbp],tbl_model_feed_final[reporting_month_date],BR$4)/'02_Control'!$B$18,BQ20*(1+_xlfn.XLOOKUP("AP Spend Growth %",tbl_assumptions[Driver],tbl_assumptions[Selected Scenario])))</f>
        <v>96442.886179001842</v>
      </c>
      <c r="BS20" s="29">
        <f>IF(BS$5="Actual",SUMIFS(tbl_model_feed_final[ap_invoice_spend_gbp],tbl_model_feed_final[reporting_month_date],BS$4)/'02_Control'!$B$18,BR20*(1+_xlfn.XLOOKUP("AP Spend Growth %",tbl_assumptions[Driver],tbl_assumptions[Selected Scenario])))</f>
        <v>97214.429268433858</v>
      </c>
      <c r="BT20" s="29">
        <f>IF(BT$5="Actual",SUMIFS(tbl_model_feed_final[ap_invoice_spend_gbp],tbl_model_feed_final[reporting_month_date],BT$4)/'02_Control'!$B$18,BS20*(1+_xlfn.XLOOKUP("AP Spend Growth %",tbl_assumptions[Driver],tbl_assumptions[Selected Scenario])))</f>
        <v>97992.144702581325</v>
      </c>
      <c r="BU20" s="29">
        <f>IF(BU$5="Actual",SUMIFS(tbl_model_feed_final[ap_invoice_spend_gbp],tbl_model_feed_final[reporting_month_date],BU$4)/'02_Control'!$B$18,BT20*(1+_xlfn.XLOOKUP("AP Spend Growth %",tbl_assumptions[Driver],tbl_assumptions[Selected Scenario])))</f>
        <v>98776.081860201972</v>
      </c>
      <c r="BV20" s="29">
        <f>IF(BV$5="Actual",SUMIFS(tbl_model_feed_final[ap_invoice_spend_gbp],tbl_model_feed_final[reporting_month_date],BV$4)/'02_Control'!$B$18,BU20*(1+_xlfn.XLOOKUP("AP Spend Growth %",tbl_assumptions[Driver],tbl_assumptions[Selected Scenario])))</f>
        <v>99566.290515083587</v>
      </c>
      <c r="BW20" s="29">
        <f>IF(BW$5="Actual",SUMIFS(tbl_model_feed_final[ap_invoice_spend_gbp],tbl_model_feed_final[reporting_month_date],BW$4)/'02_Control'!$B$18,BV20*(1+_xlfn.XLOOKUP("AP Spend Growth %",tbl_assumptions[Driver],tbl_assumptions[Selected Scenario])))</f>
        <v>100362.82083920426</v>
      </c>
      <c r="BX20" s="29">
        <f>IF(BX$5="Actual",SUMIFS(tbl_model_feed_final[ap_invoice_spend_gbp],tbl_model_feed_final[reporting_month_date],BX$4)/'02_Control'!$B$18,BW20*(1+_xlfn.XLOOKUP("AP Spend Growth %",tbl_assumptions[Driver],tbl_assumptions[Selected Scenario])))</f>
        <v>101165.72340591789</v>
      </c>
      <c r="BY20" s="29">
        <f>IF(BY$5="Actual",SUMIFS(tbl_model_feed_final[ap_invoice_spend_gbp],tbl_model_feed_final[reporting_month_date],BY$4)/'02_Control'!$B$18,BX20*(1+_xlfn.XLOOKUP("AP Spend Growth %",tbl_assumptions[Driver],tbl_assumptions[Selected Scenario])))</f>
        <v>101975.04919316524</v>
      </c>
      <c r="BZ20" s="29">
        <f>IF(BZ$5="Actual",SUMIFS(tbl_model_feed_final[ap_invoice_spend_gbp],tbl_model_feed_final[reporting_month_date],BZ$4)/'02_Control'!$B$18,BY20*(1+_xlfn.XLOOKUP("AP Spend Growth %",tbl_assumptions[Driver],tbl_assumptions[Selected Scenario])))</f>
        <v>102790.84958671055</v>
      </c>
      <c r="CA20" s="29">
        <f>IF(CA$5="Actual",SUMIFS(tbl_model_feed_final[ap_invoice_spend_gbp],tbl_model_feed_final[reporting_month_date],CA$4)/'02_Control'!$B$18,BZ20*(1+_xlfn.XLOOKUP("AP Spend Growth %",tbl_assumptions[Driver],tbl_assumptions[Selected Scenario])))</f>
        <v>103613.17638340424</v>
      </c>
      <c r="CB20" s="29">
        <f>IF(CB$5="Actual",SUMIFS(tbl_model_feed_final[ap_invoice_spend_gbp],tbl_model_feed_final[reporting_month_date],CB$4)/'02_Control'!$B$18,CA20*(1+_xlfn.XLOOKUP("AP Spend Growth %",tbl_assumptions[Driver],tbl_assumptions[Selected Scenario])))</f>
        <v>104442.08179447147</v>
      </c>
      <c r="CC20" s="29">
        <f>IF(CC$5="Actual",SUMIFS(tbl_model_feed_final[ap_invoice_spend_gbp],tbl_model_feed_final[reporting_month_date],CC$4)/'02_Control'!$B$18,CB20*(1+_xlfn.XLOOKUP("AP Spend Growth %",tbl_assumptions[Driver],tbl_assumptions[Selected Scenario])))</f>
        <v>105277.61844882724</v>
      </c>
      <c r="CD20" s="29">
        <f>IF(CD$5="Actual",SUMIFS(tbl_model_feed_final[ap_invoice_spend_gbp],tbl_model_feed_final[reporting_month_date],CD$4)/'02_Control'!$B$18,CC20*(1+_xlfn.XLOOKUP("AP Spend Growth %",tbl_assumptions[Driver],tbl_assumptions[Selected Scenario])))</f>
        <v>106119.83939641785</v>
      </c>
      <c r="CE20" s="29">
        <f>IF(CE$5="Actual",SUMIFS(tbl_model_feed_final[ap_invoice_spend_gbp],tbl_model_feed_final[reporting_month_date],CE$4)/'02_Control'!$B$18,CD20*(1+_xlfn.XLOOKUP("AP Spend Growth %",tbl_assumptions[Driver],tbl_assumptions[Selected Scenario])))</f>
        <v>106968.7981115892</v>
      </c>
      <c r="CF20" s="29">
        <f>IF(CF$5="Actual",SUMIFS(tbl_model_feed_final[ap_invoice_spend_gbp],tbl_model_feed_final[reporting_month_date],CF$4)/'02_Control'!$B$18,CE20*(1+_xlfn.XLOOKUP("AP Spend Growth %",tbl_assumptions[Driver],tbl_assumptions[Selected Scenario])))</f>
        <v>107824.54849648192</v>
      </c>
      <c r="CG20" s="29">
        <f>IF(CG$5="Actual",SUMIFS(tbl_model_feed_final[ap_invoice_spend_gbp],tbl_model_feed_final[reporting_month_date],CG$4)/'02_Control'!$B$18,CF20*(1+_xlfn.XLOOKUP("AP Spend Growth %",tbl_assumptions[Driver],tbl_assumptions[Selected Scenario])))</f>
        <v>108687.14488445378</v>
      </c>
    </row>
    <row r="21" spans="1:85" x14ac:dyDescent="0.3">
      <c r="A21" s="26" t="s">
        <v>143</v>
      </c>
      <c r="B21" s="35">
        <f>IF(B$5="Actual",SUMIFS(tbl_model_feed_final[actual_operating_expense_gbp],tbl_model_feed_final[reporting_month_date],B$4)/'02_Control'!$B$18,"")</f>
        <v>4932279.290000001</v>
      </c>
      <c r="C21" s="35">
        <f>IF(C$5="Actual",SUMIFS(tbl_model_feed_final[actual_operating_expense_gbp],tbl_model_feed_final[reporting_month_date],C$4)/'02_Control'!$B$18,"")</f>
        <v>5389320.8699999992</v>
      </c>
      <c r="D21" s="35">
        <f>IF(D$5="Actual",SUMIFS(tbl_model_feed_final[actual_operating_expense_gbp],tbl_model_feed_final[reporting_month_date],D$4)/'02_Control'!$B$18,"")</f>
        <v>5367762.57</v>
      </c>
      <c r="E21" s="35">
        <f>IF(E$5="Actual",SUMIFS(tbl_model_feed_final[actual_operating_expense_gbp],tbl_model_feed_final[reporting_month_date],E$4)/'02_Control'!$B$18,"")</f>
        <v>5624206.2200000007</v>
      </c>
      <c r="F21" s="35">
        <f>IF(F$5="Actual",SUMIFS(tbl_model_feed_final[actual_operating_expense_gbp],tbl_model_feed_final[reporting_month_date],F$4)/'02_Control'!$B$18,"")</f>
        <v>5449057.5099999998</v>
      </c>
      <c r="G21" s="35">
        <f>IF(G$5="Actual",SUMIFS(tbl_model_feed_final[actual_operating_expense_gbp],tbl_model_feed_final[reporting_month_date],G$4)/'02_Control'!$B$18,"")</f>
        <v>5653594.9900000002</v>
      </c>
      <c r="H21" s="35">
        <f>IF(H$5="Actual",SUMIFS(tbl_model_feed_final[actual_operating_expense_gbp],tbl_model_feed_final[reporting_month_date],H$4)/'02_Control'!$B$18,"")</f>
        <v>5667243.8000000007</v>
      </c>
      <c r="I21" s="35">
        <f>IF(I$5="Actual",SUMIFS(tbl_model_feed_final[actual_operating_expense_gbp],tbl_model_feed_final[reporting_month_date],I$4)/'02_Control'!$B$18,"")</f>
        <v>5965853.7299999995</v>
      </c>
      <c r="J21" s="35">
        <f>IF(J$5="Actual",SUMIFS(tbl_model_feed_final[actual_operating_expense_gbp],tbl_model_feed_final[reporting_month_date],J$4)/'02_Control'!$B$18,"")</f>
        <v>5541360.3599999994</v>
      </c>
      <c r="K21" s="35">
        <f>IF(K$5="Actual",SUMIFS(tbl_model_feed_final[actual_operating_expense_gbp],tbl_model_feed_final[reporting_month_date],K$4)/'02_Control'!$B$18,"")</f>
        <v>5845856.9799999995</v>
      </c>
      <c r="L21" s="35">
        <f>IF(L$5="Actual",SUMIFS(tbl_model_feed_final[actual_operating_expense_gbp],tbl_model_feed_final[reporting_month_date],L$4)/'02_Control'!$B$18,"")</f>
        <v>5959569.1799999997</v>
      </c>
      <c r="M21" s="35">
        <f>IF(M$5="Actual",SUMIFS(tbl_model_feed_final[actual_operating_expense_gbp],tbl_model_feed_final[reporting_month_date],M$4)/'02_Control'!$B$18,"")</f>
        <v>5859069.6299999999</v>
      </c>
      <c r="N21" s="35">
        <f>IF(N$5="Actual",SUMIFS(tbl_model_feed_final[actual_operating_expense_gbp],tbl_model_feed_final[reporting_month_date],N$4)/'02_Control'!$B$18,"")</f>
        <v>6026877.0000000009</v>
      </c>
      <c r="O21" s="35">
        <f>IF(O$5="Actual",SUMIFS(tbl_model_feed_final[actual_operating_expense_gbp],tbl_model_feed_final[reporting_month_date],O$4)/'02_Control'!$B$18,"")</f>
        <v>6256789.5800000001</v>
      </c>
      <c r="P21" s="35">
        <f>IF(P$5="Actual",SUMIFS(tbl_model_feed_final[actual_operating_expense_gbp],tbl_model_feed_final[reporting_month_date],P$4)/'02_Control'!$B$18,"")</f>
        <v>6186593.6100000003</v>
      </c>
      <c r="Q21" s="35">
        <f>IF(Q$5="Actual",SUMIFS(tbl_model_feed_final[actual_operating_expense_gbp],tbl_model_feed_final[reporting_month_date],Q$4)/'02_Control'!$B$18,"")</f>
        <v>5983998.9400000004</v>
      </c>
      <c r="R21" s="35">
        <f>IF(R$5="Actual",SUMIFS(tbl_model_feed_final[actual_operating_expense_gbp],tbl_model_feed_final[reporting_month_date],R$4)/'02_Control'!$B$18,"")</f>
        <v>6570911.4900000002</v>
      </c>
      <c r="S21" s="35">
        <f>IF(S$5="Actual",SUMIFS(tbl_model_feed_final[actual_operating_expense_gbp],tbl_model_feed_final[reporting_month_date],S$4)/'02_Control'!$B$18,"")</f>
        <v>6398268.8699999992</v>
      </c>
      <c r="T21" s="35">
        <f>IF(T$5="Actual",SUMIFS(tbl_model_feed_final[actual_operating_expense_gbp],tbl_model_feed_final[reporting_month_date],T$4)/'02_Control'!$B$18,"")</f>
        <v>6368665.3900000006</v>
      </c>
      <c r="U21" s="35">
        <f>IF(U$5="Actual",SUMIFS(tbl_model_feed_final[actual_operating_expense_gbp],tbl_model_feed_final[reporting_month_date],U$4)/'02_Control'!$B$18,"")</f>
        <v>6600163.3800000008</v>
      </c>
      <c r="V21" s="35">
        <f>IF(V$5="Actual",SUMIFS(tbl_model_feed_final[actual_operating_expense_gbp],tbl_model_feed_final[reporting_month_date],V$4)/'02_Control'!$B$18,"")</f>
        <v>6824340.2199999997</v>
      </c>
      <c r="W21" s="35">
        <f>IF(W$5="Actual",SUMIFS(tbl_model_feed_final[actual_operating_expense_gbp],tbl_model_feed_final[reporting_month_date],W$4)/'02_Control'!$B$18,"")</f>
        <v>6819849.3599999994</v>
      </c>
      <c r="X21" s="35">
        <f>IF(X$5="Actual",SUMIFS(tbl_model_feed_final[actual_operating_expense_gbp],tbl_model_feed_final[reporting_month_date],X$4)/'02_Control'!$B$18,"")</f>
        <v>7103989.0999999996</v>
      </c>
      <c r="Y21" s="35">
        <f>IF(Y$5="Actual",SUMIFS(tbl_model_feed_final[actual_operating_expense_gbp],tbl_model_feed_final[reporting_month_date],Y$4)/'02_Control'!$B$18,"")</f>
        <v>7145588.3399999999</v>
      </c>
      <c r="Z21" s="35">
        <f>IF(Z$5="Actual",SUMIFS(tbl_model_feed_final[actual_operating_expense_gbp],tbl_model_feed_final[reporting_month_date],Z$4)/'02_Control'!$B$18,"")</f>
        <v>7029444.4999999991</v>
      </c>
      <c r="AA21" s="35">
        <f>IF(AA$5="Actual",SUMIFS(tbl_model_feed_final[actual_operating_expense_gbp],tbl_model_feed_final[reporting_month_date],AA$4)/'02_Control'!$B$18,"")</f>
        <v>6996716.4899999993</v>
      </c>
      <c r="AB21" s="35">
        <f>IF(AB$5="Actual",SUMIFS(tbl_model_feed_final[actual_operating_expense_gbp],tbl_model_feed_final[reporting_month_date],AB$4)/'02_Control'!$B$18,"")</f>
        <v>7230905.0500000007</v>
      </c>
      <c r="AC21" s="35">
        <f>IF(AC$5="Actual",SUMIFS(tbl_model_feed_final[actual_operating_expense_gbp],tbl_model_feed_final[reporting_month_date],AC$4)/'02_Control'!$B$18,"")</f>
        <v>7198431.0200000005</v>
      </c>
      <c r="AD21" s="35">
        <f>IF(AD$5="Actual",SUMIFS(tbl_model_feed_final[actual_operating_expense_gbp],tbl_model_feed_final[reporting_month_date],AD$4)/'02_Control'!$B$18,"")</f>
        <v>7492107.9500000002</v>
      </c>
      <c r="AE21" s="35">
        <f>IF(AE$5="Actual",SUMIFS(tbl_model_feed_final[actual_operating_expense_gbp],tbl_model_feed_final[reporting_month_date],AE$4)/'02_Control'!$B$18,"")</f>
        <v>7561040.3399999999</v>
      </c>
      <c r="AF21" s="35">
        <f>IF(AF$5="Actual",SUMIFS(tbl_model_feed_final[actual_operating_expense_gbp],tbl_model_feed_final[reporting_month_date],AF$4)/'02_Control'!$B$18,"")</f>
        <v>8029566.3299999991</v>
      </c>
      <c r="AG21" s="35">
        <f>IF(AG$5="Actual",SUMIFS(tbl_model_feed_final[actual_operating_expense_gbp],tbl_model_feed_final[reporting_month_date],AG$4)/'02_Control'!$B$18,"")</f>
        <v>7662989.4300000006</v>
      </c>
      <c r="AH21" s="35">
        <f>IF(AH$5="Actual",SUMIFS(tbl_model_feed_final[actual_operating_expense_gbp],tbl_model_feed_final[reporting_month_date],AH$4)/'02_Control'!$B$18,"")</f>
        <v>7979393.1199999992</v>
      </c>
      <c r="AI21" s="35">
        <f>IF(AI$5="Actual",SUMIFS(tbl_model_feed_final[actual_operating_expense_gbp],tbl_model_feed_final[reporting_month_date],AI$4)/'02_Control'!$B$18,"")</f>
        <v>8140066.3300000001</v>
      </c>
      <c r="AJ21" s="35">
        <f>IF(AJ$5="Actual",SUMIFS(tbl_model_feed_final[actual_operating_expense_gbp],tbl_model_feed_final[reporting_month_date],AJ$4)/'02_Control'!$B$18,"")</f>
        <v>7975694.9500000002</v>
      </c>
      <c r="AK21" s="35">
        <f>IF(AK$5="Actual",SUMIFS(tbl_model_feed_final[actual_operating_expense_gbp],tbl_model_feed_final[reporting_month_date],AK$4)/'02_Control'!$B$18,"")</f>
        <v>8383282.9999999991</v>
      </c>
      <c r="AL21" s="35">
        <f>IF(AL$5="Actual",SUMIFS(tbl_model_feed_final[actual_operating_expense_gbp],tbl_model_feed_final[reporting_month_date],AL$4)/'02_Control'!$B$18,"")</f>
        <v>8307156.8800000008</v>
      </c>
      <c r="AM21" s="35">
        <f>IF(AM$5="Actual",SUMIFS(tbl_model_feed_final[actual_operating_expense_gbp],tbl_model_feed_final[reporting_month_date],AM$4)/'02_Control'!$B$18,"")</f>
        <v>8218845.9399999995</v>
      </c>
      <c r="AN21" s="35">
        <f>IF(AN$5="Actual",SUMIFS(tbl_model_feed_final[actual_operating_expense_gbp],tbl_model_feed_final[reporting_month_date],AN$4)/'02_Control'!$B$18,"")</f>
        <v>8265600.7100000009</v>
      </c>
      <c r="AO21" s="35">
        <f>IF(AO$5="Actual",SUMIFS(tbl_model_feed_final[actual_operating_expense_gbp],tbl_model_feed_final[reporting_month_date],AO$4)/'02_Control'!$B$18,"")</f>
        <v>8342254.9799999995</v>
      </c>
      <c r="AP21" s="35">
        <f>IF(AP$5="Actual",SUMIFS(tbl_model_feed_final[actual_operating_expense_gbp],tbl_model_feed_final[reporting_month_date],AP$4)/'02_Control'!$B$18,"")</f>
        <v>8239190.1699999999</v>
      </c>
      <c r="AQ21" s="36">
        <f>IF(AQ$5="Actual",SUMIFS(tbl_model_feed_final[actual_operating_expense_gbp],tbl_model_feed_final[reporting_month_date],AQ$4)/'02_Control'!$B$18,"")</f>
        <v>7733565.4299999997</v>
      </c>
      <c r="AR21" s="35">
        <f>IF(AR$5="Actual",SUMIFS(tbl_model_feed_final[actual_operating_expense_gbp],tbl_model_feed_final[reporting_month_date],AR$4)/'02_Control'!$B$18,AR19+AR20)</f>
        <v>7810745.5357999997</v>
      </c>
      <c r="AS21" s="35">
        <f>IF(AS$5="Actual",SUMIFS(tbl_model_feed_final[actual_operating_expense_gbp],tbl_model_feed_final[reporting_month_date],AS$4)/'02_Control'!$B$18,AS19+AS20)</f>
        <v>7888696.1982699996</v>
      </c>
      <c r="AT21" s="35">
        <f>IF(AT$5="Actual",SUMIFS(tbl_model_feed_final[actual_operating_expense_gbp],tbl_model_feed_final[reporting_month_date],AT$4)/'02_Control'!$B$18,AT19+AT20)</f>
        <v>7967425.1130215954</v>
      </c>
      <c r="AU21" s="35">
        <f>IF(AU$5="Actual",SUMIFS(tbl_model_feed_final[actual_operating_expense_gbp],tbl_model_feed_final[reporting_month_date],AU$4)/'02_Control'!$B$18,AU19+AU20)</f>
        <v>8046940.0525428588</v>
      </c>
      <c r="AV21" s="35">
        <f>IF(AV$5="Actual",SUMIFS(tbl_model_feed_final[actual_operating_expense_gbp],tbl_model_feed_final[reporting_month_date],AV$4)/'02_Control'!$B$18,AV19+AV20)</f>
        <v>8127248.8669664627</v>
      </c>
      <c r="AW21" s="35">
        <f>IF(AW$5="Actual",SUMIFS(tbl_model_feed_final[actual_operating_expense_gbp],tbl_model_feed_final[reporting_month_date],AW$4)/'02_Control'!$B$18,AW19+AW20)</f>
        <v>8208359.4848454883</v>
      </c>
      <c r="AX21" s="35">
        <f>IF(AX$5="Actual",SUMIFS(tbl_model_feed_final[actual_operating_expense_gbp],tbl_model_feed_final[reporting_month_date],AX$4)/'02_Control'!$B$18,AX19+AX20)</f>
        <v>8290279.9139369801</v>
      </c>
      <c r="AY21" s="35">
        <f>IF(AY$5="Actual",SUMIFS(tbl_model_feed_final[actual_operating_expense_gbp],tbl_model_feed_final[reporting_month_date],AY$4)/'02_Control'!$B$18,AY19+AY20)</f>
        <v>8373018.2419933304</v>
      </c>
      <c r="AZ21" s="35">
        <f>IF(AZ$5="Actual",SUMIFS(tbl_model_feed_final[actual_operating_expense_gbp],tbl_model_feed_final[reporting_month_date],AZ$4)/'02_Control'!$B$18,AZ19+AZ20)</f>
        <v>8456582.6375615802</v>
      </c>
      <c r="BA21" s="35">
        <f>IF(BA$5="Actual",SUMIFS(tbl_model_feed_final[actual_operating_expense_gbp],tbl_model_feed_final[reporting_month_date],BA$4)/'02_Control'!$B$18,BA19+BA20)</f>
        <v>8540981.3507906981</v>
      </c>
      <c r="BB21" s="35">
        <f>IF(BB$5="Actual",SUMIFS(tbl_model_feed_final[actual_operating_expense_gbp],tbl_model_feed_final[reporting_month_date],BB$4)/'02_Control'!$B$18,BB19+BB20)</f>
        <v>8626222.7142469361</v>
      </c>
      <c r="BC21" s="35">
        <f>IF(BC$5="Actual",SUMIFS(tbl_model_feed_final[actual_operating_expense_gbp],tbl_model_feed_final[reporting_month_date],BC$4)/'02_Control'!$B$18,BC19+BC20)</f>
        <v>8712315.1437373236</v>
      </c>
      <c r="BD21" s="35">
        <f>IF(BD$5="Actual",SUMIFS(tbl_model_feed_final[actual_operating_expense_gbp],tbl_model_feed_final[reporting_month_date],BD$4)/'02_Control'!$B$18,BD19+BD20)</f>
        <v>8799267.1391413976</v>
      </c>
      <c r="BE21" s="35">
        <f>IF(BE$5="Actual",SUMIFS(tbl_model_feed_final[actual_operating_expense_gbp],tbl_model_feed_final[reporting_month_date],BE$4)/'02_Control'!$B$18,BE19+BE20)</f>
        <v>8887087.2852512468</v>
      </c>
      <c r="BF21" s="35">
        <f>IF(BF$5="Actual",SUMIFS(tbl_model_feed_final[actual_operating_expense_gbp],tbl_model_feed_final[reporting_month_date],BF$4)/'02_Control'!$B$18,BF19+BF20)</f>
        <v>8975784.2526199389</v>
      </c>
      <c r="BG21" s="35">
        <f>IF(BG$5="Actual",SUMIFS(tbl_model_feed_final[actual_operating_expense_gbp],tbl_model_feed_final[reporting_month_date],BG$4)/'02_Control'!$B$18,BG19+BG20)</f>
        <v>9065366.7984184492</v>
      </c>
      <c r="BH21" s="35">
        <f>IF(BH$5="Actual",SUMIFS(tbl_model_feed_final[actual_operating_expense_gbp],tbl_model_feed_final[reporting_month_date],BH$4)/'02_Control'!$B$18,BH19+BH20)</f>
        <v>9155843.7673011236</v>
      </c>
      <c r="BI21" s="35">
        <f>IF(BI$5="Actual",SUMIFS(tbl_model_feed_final[actual_operating_expense_gbp],tbl_model_feed_final[reporting_month_date],BI$4)/'02_Control'!$B$18,BI19+BI20)</f>
        <v>9247224.0922798123</v>
      </c>
      <c r="BJ21" s="35">
        <f>IF(BJ$5="Actual",SUMIFS(tbl_model_feed_final[actual_operating_expense_gbp],tbl_model_feed_final[reporting_month_date],BJ$4)/'02_Control'!$B$18,BJ19+BJ20)</f>
        <v>9339516.7956067342</v>
      </c>
      <c r="BK21" s="35">
        <f>IF(BK$5="Actual",SUMIFS(tbl_model_feed_final[actual_operating_expense_gbp],tbl_model_feed_final[reporting_month_date],BK$4)/'02_Control'!$B$18,BK19+BK20)</f>
        <v>9432730.9896661565</v>
      </c>
      <c r="BL21" s="35">
        <f>IF(BL$5="Actual",SUMIFS(tbl_model_feed_final[actual_operating_expense_gbp],tbl_model_feed_final[reporting_month_date],BL$4)/'02_Control'!$B$18,BL19+BL20)</f>
        <v>9526875.8778750002</v>
      </c>
      <c r="BM21" s="35">
        <f>IF(BM$5="Actual",SUMIFS(tbl_model_feed_final[actual_operating_expense_gbp],tbl_model_feed_final[reporting_month_date],BM$4)/'02_Control'!$B$18,BM19+BM20)</f>
        <v>9621960.75559243</v>
      </c>
      <c r="BN21" s="35">
        <f>IF(BN$5="Actual",SUMIFS(tbl_model_feed_final[actual_operating_expense_gbp],tbl_model_feed_final[reporting_month_date],BN$4)/'02_Control'!$B$18,BN19+BN20)</f>
        <v>9717995.0110385455</v>
      </c>
      <c r="BO21" s="35">
        <f>IF(BO$5="Actual",SUMIFS(tbl_model_feed_final[actual_operating_expense_gbp],tbl_model_feed_final[reporting_month_date],BO$4)/'02_Control'!$B$18,BO19+BO20)</f>
        <v>9814988.1262222417</v>
      </c>
      <c r="BP21" s="35">
        <f>IF(BP$5="Actual",SUMIFS(tbl_model_feed_final[actual_operating_expense_gbp],tbl_model_feed_final[reporting_month_date],BP$4)/'02_Control'!$B$18,BP19+BP20)</f>
        <v>9912949.6778783631</v>
      </c>
      <c r="BQ21" s="35">
        <f>IF(BQ$5="Actual",SUMIFS(tbl_model_feed_final[actual_operating_expense_gbp],tbl_model_feed_final[reporting_month_date],BQ$4)/'02_Control'!$B$18,BQ19+BQ20)</f>
        <v>10011889.338414194</v>
      </c>
      <c r="BR21" s="35">
        <f>IF(BR$5="Actual",SUMIFS(tbl_model_feed_final[actual_operating_expense_gbp],tbl_model_feed_final[reporting_month_date],BR$4)/'02_Control'!$B$18,BR19+BR20)</f>
        <v>10111816.876865441</v>
      </c>
      <c r="BS21" s="35">
        <f>IF(BS$5="Actual",SUMIFS(tbl_model_feed_final[actual_operating_expense_gbp],tbl_model_feed_final[reporting_month_date],BS$4)/'02_Control'!$B$18,BS19+BS20)</f>
        <v>10212742.159861738</v>
      </c>
      <c r="BT21" s="35">
        <f>IF(BT$5="Actual",SUMIFS(tbl_model_feed_final[actual_operating_expense_gbp],tbl_model_feed_final[reporting_month_date],BT$4)/'02_Control'!$B$18,BT19+BT20)</f>
        <v>10314675.152601818</v>
      </c>
      <c r="BU21" s="35">
        <f>IF(BU$5="Actual",SUMIFS(tbl_model_feed_final[actual_operating_expense_gbp],tbl_model_feed_final[reporting_month_date],BU$4)/'02_Control'!$B$18,BU19+BU20)</f>
        <v>10417625.91983843</v>
      </c>
      <c r="BV21" s="35">
        <f>IF(BV$5="Actual",SUMIFS(tbl_model_feed_final[actual_operating_expense_gbp],tbl_model_feed_final[reporting_month_date],BV$4)/'02_Control'!$B$18,BV19+BV20)</f>
        <v>10521604.626873095</v>
      </c>
      <c r="BW21" s="35">
        <f>IF(BW$5="Actual",SUMIFS(tbl_model_feed_final[actual_operating_expense_gbp],tbl_model_feed_final[reporting_month_date],BW$4)/'02_Control'!$B$18,BW19+BW20)</f>
        <v>10626621.540560795</v>
      </c>
      <c r="BX21" s="35">
        <f>IF(BX$5="Actual",SUMIFS(tbl_model_feed_final[actual_operating_expense_gbp],tbl_model_feed_final[reporting_month_date],BX$4)/'02_Control'!$B$18,BX19+BX20)</f>
        <v>10732687.030324725</v>
      </c>
      <c r="BY21" s="35">
        <f>IF(BY$5="Actual",SUMIFS(tbl_model_feed_final[actual_operating_expense_gbp],tbl_model_feed_final[reporting_month_date],BY$4)/'02_Control'!$B$18,BY19+BY20)</f>
        <v>10839811.569181159</v>
      </c>
      <c r="BZ21" s="35">
        <f>IF(BZ$5="Actual",SUMIFS(tbl_model_feed_final[actual_operating_expense_gbp],tbl_model_feed_final[reporting_month_date],BZ$4)/'02_Control'!$B$18,BZ19+BZ20)</f>
        <v>10948005.734774586</v>
      </c>
      <c r="CA21" s="35">
        <f>IF(CA$5="Actual",SUMIFS(tbl_model_feed_final[actual_operating_expense_gbp],tbl_model_feed_final[reporting_month_date],CA$4)/'02_Control'!$B$18,CA19+CA20)</f>
        <v>11057280.210423158</v>
      </c>
      <c r="CB21" s="35">
        <f>IF(CB$5="Actual",SUMIFS(tbl_model_feed_final[actual_operating_expense_gbp],tbl_model_feed_final[reporting_month_date],CB$4)/'02_Control'!$B$18,CB19+CB20)</f>
        <v>11167645.786174623</v>
      </c>
      <c r="CC21" s="35">
        <f>IF(CC$5="Actual",SUMIFS(tbl_model_feed_final[actual_operating_expense_gbp],tbl_model_feed_final[reporting_month_date],CC$4)/'02_Control'!$B$18,CC19+CC20)</f>
        <v>11279113.359872783</v>
      </c>
      <c r="CD21" s="35">
        <f>IF(CD$5="Actual",SUMIFS(tbl_model_feed_final[actual_operating_expense_gbp],tbl_model_feed_final[reporting_month_date],CD$4)/'02_Control'!$B$18,CD19+CD20)</f>
        <v>11391693.938234612</v>
      </c>
      <c r="CE21" s="35">
        <f>IF(CE$5="Actual",SUMIFS(tbl_model_feed_final[actual_operating_expense_gbp],tbl_model_feed_final[reporting_month_date],CE$4)/'02_Control'!$B$18,CE19+CE20)</f>
        <v>11505398.637938166</v>
      </c>
      <c r="CF21" s="35">
        <f>IF(CF$5="Actual",SUMIFS(tbl_model_feed_final[actual_operating_expense_gbp],tbl_model_feed_final[reporting_month_date],CF$4)/'02_Control'!$B$18,CF19+CF20)</f>
        <v>11620238.686721323</v>
      </c>
      <c r="CG21" s="35">
        <f>IF(CG$5="Actual",SUMIFS(tbl_model_feed_final[actual_operating_expense_gbp],tbl_model_feed_final[reporting_month_date],CG$4)/'02_Control'!$B$18,CG19+CG20)</f>
        <v>11736225.424491545</v>
      </c>
    </row>
    <row r="22" spans="1:85" x14ac:dyDescent="0.3">
      <c r="A22" s="26" t="s">
        <v>192</v>
      </c>
      <c r="B22" s="37">
        <f>IF(B$5="Actual",B19+B20-B21,0)</f>
        <v>0</v>
      </c>
      <c r="C22" s="37">
        <f t="shared" ref="C22:AQ22" si="6">IF(C$5="Actual",C19+C20-C21,0)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  <c r="Y22" s="37">
        <f t="shared" si="6"/>
        <v>0</v>
      </c>
      <c r="Z22" s="37">
        <f t="shared" si="6"/>
        <v>0</v>
      </c>
      <c r="AA22" s="37">
        <f t="shared" si="6"/>
        <v>0</v>
      </c>
      <c r="AB22" s="37">
        <f t="shared" si="6"/>
        <v>0</v>
      </c>
      <c r="AC22" s="37">
        <f t="shared" si="6"/>
        <v>0</v>
      </c>
      <c r="AD22" s="37">
        <f t="shared" si="6"/>
        <v>0</v>
      </c>
      <c r="AE22" s="37">
        <f t="shared" si="6"/>
        <v>0</v>
      </c>
      <c r="AF22" s="37">
        <f t="shared" si="6"/>
        <v>0</v>
      </c>
      <c r="AG22" s="37">
        <f t="shared" si="6"/>
        <v>0</v>
      </c>
      <c r="AH22" s="37">
        <f t="shared" si="6"/>
        <v>0</v>
      </c>
      <c r="AI22" s="37">
        <f t="shared" si="6"/>
        <v>0</v>
      </c>
      <c r="AJ22" s="37">
        <f t="shared" si="6"/>
        <v>0</v>
      </c>
      <c r="AK22" s="37">
        <f t="shared" si="6"/>
        <v>0</v>
      </c>
      <c r="AL22" s="37">
        <f t="shared" si="6"/>
        <v>0</v>
      </c>
      <c r="AM22" s="37">
        <f t="shared" si="6"/>
        <v>0</v>
      </c>
      <c r="AN22" s="37">
        <f t="shared" si="6"/>
        <v>0</v>
      </c>
      <c r="AO22" s="37">
        <f t="shared" si="6"/>
        <v>0</v>
      </c>
      <c r="AP22" s="37">
        <f t="shared" si="6"/>
        <v>0</v>
      </c>
      <c r="AQ22" s="38">
        <f t="shared" si="6"/>
        <v>0</v>
      </c>
      <c r="AR22" s="37">
        <f>IF(AQ$5="Actual",AQ19+AQ20-AQ21,0)</f>
        <v>0</v>
      </c>
      <c r="AS22" s="37">
        <f t="shared" ref="AS22:CG22" si="7">IF(AR$5="Actual",AR19+AR20-AR21,0)</f>
        <v>0</v>
      </c>
      <c r="AT22" s="37">
        <f t="shared" si="7"/>
        <v>0</v>
      </c>
      <c r="AU22" s="37">
        <f t="shared" si="7"/>
        <v>0</v>
      </c>
      <c r="AV22" s="37">
        <f t="shared" si="7"/>
        <v>0</v>
      </c>
      <c r="AW22" s="37">
        <f t="shared" si="7"/>
        <v>0</v>
      </c>
      <c r="AX22" s="37">
        <f t="shared" si="7"/>
        <v>0</v>
      </c>
      <c r="AY22" s="37">
        <f t="shared" si="7"/>
        <v>0</v>
      </c>
      <c r="AZ22" s="37">
        <f t="shared" si="7"/>
        <v>0</v>
      </c>
      <c r="BA22" s="37">
        <f t="shared" si="7"/>
        <v>0</v>
      </c>
      <c r="BB22" s="37">
        <f t="shared" si="7"/>
        <v>0</v>
      </c>
      <c r="BC22" s="37">
        <f t="shared" si="7"/>
        <v>0</v>
      </c>
      <c r="BD22" s="37">
        <f t="shared" si="7"/>
        <v>0</v>
      </c>
      <c r="BE22" s="37">
        <f t="shared" si="7"/>
        <v>0</v>
      </c>
      <c r="BF22" s="37">
        <f t="shared" si="7"/>
        <v>0</v>
      </c>
      <c r="BG22" s="37">
        <f t="shared" si="7"/>
        <v>0</v>
      </c>
      <c r="BH22" s="37">
        <f t="shared" si="7"/>
        <v>0</v>
      </c>
      <c r="BI22" s="37">
        <f t="shared" si="7"/>
        <v>0</v>
      </c>
      <c r="BJ22" s="37">
        <f t="shared" si="7"/>
        <v>0</v>
      </c>
      <c r="BK22" s="37">
        <f t="shared" si="7"/>
        <v>0</v>
      </c>
      <c r="BL22" s="37">
        <f t="shared" si="7"/>
        <v>0</v>
      </c>
      <c r="BM22" s="37">
        <f t="shared" si="7"/>
        <v>0</v>
      </c>
      <c r="BN22" s="37">
        <f t="shared" si="7"/>
        <v>0</v>
      </c>
      <c r="BO22" s="37">
        <f t="shared" si="7"/>
        <v>0</v>
      </c>
      <c r="BP22" s="37">
        <f t="shared" si="7"/>
        <v>0</v>
      </c>
      <c r="BQ22" s="37">
        <f t="shared" si="7"/>
        <v>0</v>
      </c>
      <c r="BR22" s="37">
        <f t="shared" si="7"/>
        <v>0</v>
      </c>
      <c r="BS22" s="37">
        <f t="shared" si="7"/>
        <v>0</v>
      </c>
      <c r="BT22" s="37">
        <f t="shared" si="7"/>
        <v>0</v>
      </c>
      <c r="BU22" s="37">
        <f t="shared" si="7"/>
        <v>0</v>
      </c>
      <c r="BV22" s="37">
        <f t="shared" si="7"/>
        <v>0</v>
      </c>
      <c r="BW22" s="37">
        <f t="shared" si="7"/>
        <v>0</v>
      </c>
      <c r="BX22" s="37">
        <f t="shared" si="7"/>
        <v>0</v>
      </c>
      <c r="BY22" s="37">
        <f t="shared" si="7"/>
        <v>0</v>
      </c>
      <c r="BZ22" s="37">
        <f t="shared" si="7"/>
        <v>0</v>
      </c>
      <c r="CA22" s="37">
        <f t="shared" si="7"/>
        <v>0</v>
      </c>
      <c r="CB22" s="37">
        <f t="shared" si="7"/>
        <v>0</v>
      </c>
      <c r="CC22" s="37">
        <f t="shared" si="7"/>
        <v>0</v>
      </c>
      <c r="CD22" s="37">
        <f t="shared" si="7"/>
        <v>0</v>
      </c>
      <c r="CE22" s="37">
        <f t="shared" si="7"/>
        <v>0</v>
      </c>
      <c r="CF22" s="37">
        <f t="shared" si="7"/>
        <v>0</v>
      </c>
      <c r="CG22" s="37">
        <f t="shared" si="7"/>
        <v>0</v>
      </c>
    </row>
    <row r="23" spans="1:85" x14ac:dyDescent="0.3">
      <c r="A23" s="39" t="s">
        <v>31</v>
      </c>
      <c r="B23" s="40">
        <f>IF(B$5="Actual",SUMIFS(tbl_model_feed_final[actual_operating_profit_gbp],tbl_model_feed_final[reporting_month_date],B$4)/'02_Control'!$B$18,"")</f>
        <v>-3465652.8600000008</v>
      </c>
      <c r="C23" s="40">
        <f>IF(C$5="Actual",SUMIFS(tbl_model_feed_final[actual_operating_profit_gbp],tbl_model_feed_final[reporting_month_date],C$4)/'02_Control'!$B$18,"")</f>
        <v>-3747605.9299999988</v>
      </c>
      <c r="D23" s="40">
        <f>IF(D$5="Actual",SUMIFS(tbl_model_feed_final[actual_operating_profit_gbp],tbl_model_feed_final[reporting_month_date],D$4)/'02_Control'!$B$18,"")</f>
        <v>-3450043.9399999995</v>
      </c>
      <c r="E23" s="40">
        <f>IF(E$5="Actual",SUMIFS(tbl_model_feed_final[actual_operating_profit_gbp],tbl_model_feed_final[reporting_month_date],E$4)/'02_Control'!$B$18,"")</f>
        <v>-3501321.5199999968</v>
      </c>
      <c r="F23" s="40">
        <f>IF(F$5="Actual",SUMIFS(tbl_model_feed_final[actual_operating_profit_gbp],tbl_model_feed_final[reporting_month_date],F$4)/'02_Control'!$B$18,"")</f>
        <v>-3075286.54</v>
      </c>
      <c r="G23" s="40">
        <f>IF(G$5="Actual",SUMIFS(tbl_model_feed_final[actual_operating_profit_gbp],tbl_model_feed_final[reporting_month_date],G$4)/'02_Control'!$B$18,"")</f>
        <v>-3029531.4700000007</v>
      </c>
      <c r="H23" s="40">
        <f>IF(H$5="Actual",SUMIFS(tbl_model_feed_final[actual_operating_profit_gbp],tbl_model_feed_final[reporting_month_date],H$4)/'02_Control'!$B$18,"")</f>
        <v>-2767881.0400000033</v>
      </c>
      <c r="I23" s="40">
        <f>IF(I$5="Actual",SUMIFS(tbl_model_feed_final[actual_operating_profit_gbp],tbl_model_feed_final[reporting_month_date],I$4)/'02_Control'!$B$18,"")</f>
        <v>-2802651.1299999994</v>
      </c>
      <c r="J23" s="40">
        <f>IF(J$5="Actual",SUMIFS(tbl_model_feed_final[actual_operating_profit_gbp],tbl_model_feed_final[reporting_month_date],J$4)/'02_Control'!$B$18,"")</f>
        <v>-2167925.2500000047</v>
      </c>
      <c r="K23" s="40">
        <f>IF(K$5="Actual",SUMIFS(tbl_model_feed_final[actual_operating_profit_gbp],tbl_model_feed_final[reporting_month_date],K$4)/'02_Control'!$B$18,"")</f>
        <v>-2206003.9499999993</v>
      </c>
      <c r="L23" s="40">
        <f>IF(L$5="Actual",SUMIFS(tbl_model_feed_final[actual_operating_profit_gbp],tbl_model_feed_final[reporting_month_date],L$4)/'02_Control'!$B$18,"")</f>
        <v>-2189523.4000000097</v>
      </c>
      <c r="M23" s="40">
        <f>IF(M$5="Actual",SUMIFS(tbl_model_feed_final[actual_operating_profit_gbp],tbl_model_feed_final[reporting_month_date],M$4)/'02_Control'!$B$18,"")</f>
        <v>-1753683.2499999912</v>
      </c>
      <c r="N23" s="40">
        <f>IF(N$5="Actual",SUMIFS(tbl_model_feed_final[actual_operating_profit_gbp],tbl_model_feed_final[reporting_month_date],N$4)/'02_Control'!$B$18,"")</f>
        <v>-1831760.7299999893</v>
      </c>
      <c r="O23" s="40">
        <f>IF(O$5="Actual",SUMIFS(tbl_model_feed_final[actual_operating_profit_gbp],tbl_model_feed_final[reporting_month_date],O$4)/'02_Control'!$B$18,"")</f>
        <v>-2151418.0699999789</v>
      </c>
      <c r="P23" s="40">
        <f>IF(P$5="Actual",SUMIFS(tbl_model_feed_final[actual_operating_profit_gbp],tbl_model_feed_final[reporting_month_date],P$4)/'02_Control'!$B$18,"")</f>
        <v>-1815737.3299999908</v>
      </c>
      <c r="Q23" s="40">
        <f>IF(Q$5="Actual",SUMIFS(tbl_model_feed_final[actual_operating_profit_gbp],tbl_model_feed_final[reporting_month_date],Q$4)/'02_Control'!$B$18,"")</f>
        <v>-1630202.0700000152</v>
      </c>
      <c r="R23" s="40">
        <f>IF(R$5="Actual",SUMIFS(tbl_model_feed_final[actual_operating_profit_gbp],tbl_model_feed_final[reporting_month_date],R$4)/'02_Control'!$B$18,"")</f>
        <v>-1993262.7200000091</v>
      </c>
      <c r="S23" s="40">
        <f>IF(S$5="Actual",SUMIFS(tbl_model_feed_final[actual_operating_profit_gbp],tbl_model_feed_final[reporting_month_date],S$4)/'02_Control'!$B$18,"")</f>
        <v>-1852795.4200000102</v>
      </c>
      <c r="T23" s="40">
        <f>IF(T$5="Actual",SUMIFS(tbl_model_feed_final[actual_operating_profit_gbp],tbl_model_feed_final[reporting_month_date],T$4)/'02_Control'!$B$18,"")</f>
        <v>-1649489.3500000201</v>
      </c>
      <c r="U23" s="40">
        <f>IF(U$5="Actual",SUMIFS(tbl_model_feed_final[actual_operating_profit_gbp],tbl_model_feed_final[reporting_month_date],U$4)/'02_Control'!$B$18,"")</f>
        <v>-1756481.8000000268</v>
      </c>
      <c r="V23" s="40">
        <f>IF(V$5="Actual",SUMIFS(tbl_model_feed_final[actual_operating_profit_gbp],tbl_model_feed_final[reporting_month_date],V$4)/'02_Control'!$B$18,"")</f>
        <v>-2006333.5500000101</v>
      </c>
      <c r="W23" s="40">
        <f>IF(W$5="Actual",SUMIFS(tbl_model_feed_final[actual_operating_profit_gbp],tbl_model_feed_final[reporting_month_date],W$4)/'02_Control'!$B$18,"")</f>
        <v>-1800694.0500000222</v>
      </c>
      <c r="X23" s="40">
        <f>IF(X$5="Actual",SUMIFS(tbl_model_feed_final[actual_operating_profit_gbp],tbl_model_feed_final[reporting_month_date],X$4)/'02_Control'!$B$18,"")</f>
        <v>-2116163.0300000068</v>
      </c>
      <c r="Y23" s="40">
        <f>IF(Y$5="Actual",SUMIFS(tbl_model_feed_final[actual_operating_profit_gbp],tbl_model_feed_final[reporting_month_date],Y$4)/'02_Control'!$B$18,"")</f>
        <v>-1978053.7600000352</v>
      </c>
      <c r="Z23" s="40">
        <f>IF(Z$5="Actual",SUMIFS(tbl_model_feed_final[actual_operating_profit_gbp],tbl_model_feed_final[reporting_month_date],Z$4)/'02_Control'!$B$18,"")</f>
        <v>-1759414.0500000417</v>
      </c>
      <c r="AA23" s="40">
        <f>IF(AA$5="Actual",SUMIFS(tbl_model_feed_final[actual_operating_profit_gbp],tbl_model_feed_final[reporting_month_date],AA$4)/'02_Control'!$B$18,"")</f>
        <v>-1998558.0199999986</v>
      </c>
      <c r="AB23" s="40">
        <f>IF(AB$5="Actual",SUMIFS(tbl_model_feed_final[actual_operating_profit_gbp],tbl_model_feed_final[reporting_month_date],AB$4)/'02_Control'!$B$18,"")</f>
        <v>-1856025.6500000339</v>
      </c>
      <c r="AC23" s="40">
        <f>IF(AC$5="Actual",SUMIFS(tbl_model_feed_final[actual_operating_profit_gbp],tbl_model_feed_final[reporting_month_date],AC$4)/'02_Control'!$B$18,"")</f>
        <v>-1874339.1300000129</v>
      </c>
      <c r="AD23" s="40">
        <f>IF(AD$5="Actual",SUMIFS(tbl_model_feed_final[actual_operating_profit_gbp],tbl_model_feed_final[reporting_month_date],AD$4)/'02_Control'!$B$18,"")</f>
        <v>-1986320.49000003</v>
      </c>
      <c r="AE23" s="40">
        <f>IF(AE$5="Actual",SUMIFS(tbl_model_feed_final[actual_operating_profit_gbp],tbl_model_feed_final[reporting_month_date],AE$4)/'02_Control'!$B$18,"")</f>
        <v>-2146968.1400000006</v>
      </c>
      <c r="AF23" s="40">
        <f>IF(AF$5="Actual",SUMIFS(tbl_model_feed_final[actual_operating_profit_gbp],tbl_model_feed_final[reporting_month_date],AF$4)/'02_Control'!$B$18,"")</f>
        <v>-2405544.9800000172</v>
      </c>
      <c r="AG23" s="40">
        <f>IF(AG$5="Actual",SUMIFS(tbl_model_feed_final[actual_operating_profit_gbp],tbl_model_feed_final[reporting_month_date],AG$4)/'02_Control'!$B$18,"")</f>
        <v>-1961719.690000033</v>
      </c>
      <c r="AH23" s="40">
        <f>IF(AH$5="Actual",SUMIFS(tbl_model_feed_final[actual_operating_profit_gbp],tbl_model_feed_final[reporting_month_date],AH$4)/'02_Control'!$B$18,"")</f>
        <v>-2357697.4700000109</v>
      </c>
      <c r="AI23" s="40">
        <f>IF(AI$5="Actual",SUMIFS(tbl_model_feed_final[actual_operating_profit_gbp],tbl_model_feed_final[reporting_month_date],AI$4)/'02_Control'!$B$18,"")</f>
        <v>-2353771.410000043</v>
      </c>
      <c r="AJ23" s="40">
        <f>IF(AJ$5="Actual",SUMIFS(tbl_model_feed_final[actual_operating_profit_gbp],tbl_model_feed_final[reporting_month_date],AJ$4)/'02_Control'!$B$18,"")</f>
        <v>-2277515.6000000127</v>
      </c>
      <c r="AK23" s="40">
        <f>IF(AK$5="Actual",SUMIFS(tbl_model_feed_final[actual_operating_profit_gbp],tbl_model_feed_final[reporting_month_date],AK$4)/'02_Control'!$B$18,"")</f>
        <v>-2514515.5800000457</v>
      </c>
      <c r="AL23" s="40">
        <f>IF(AL$5="Actual",SUMIFS(tbl_model_feed_final[actual_operating_profit_gbp],tbl_model_feed_final[reporting_month_date],AL$4)/'02_Control'!$B$18,"")</f>
        <v>-2379243.7700000443</v>
      </c>
      <c r="AM23" s="40">
        <f>IF(AM$5="Actual",SUMIFS(tbl_model_feed_final[actual_operating_profit_gbp],tbl_model_feed_final[reporting_month_date],AM$4)/'02_Control'!$B$18,"")</f>
        <v>-2695165.9300000397</v>
      </c>
      <c r="AN23" s="40">
        <f>IF(AN$5="Actual",SUMIFS(tbl_model_feed_final[actual_operating_profit_gbp],tbl_model_feed_final[reporting_month_date],AN$4)/'02_Control'!$B$18,"")</f>
        <v>-2371075.200000043</v>
      </c>
      <c r="AO23" s="40">
        <f>IF(AO$5="Actual",SUMIFS(tbl_model_feed_final[actual_operating_profit_gbp],tbl_model_feed_final[reporting_month_date],AO$4)/'02_Control'!$B$18,"")</f>
        <v>-2572239.3100000117</v>
      </c>
      <c r="AP23" s="40">
        <f>IF(AP$5="Actual",SUMIFS(tbl_model_feed_final[actual_operating_profit_gbp],tbl_model_feed_final[reporting_month_date],AP$4)/'02_Control'!$B$18,"")</f>
        <v>-2346572.9500000514</v>
      </c>
      <c r="AQ23" s="41">
        <f>IF(AQ$5="Actual",SUMIFS(tbl_model_feed_final[actual_operating_profit_gbp],tbl_model_feed_final[reporting_month_date],AQ$4)/'02_Control'!$B$18,"")</f>
        <v>-1936177.5700000059</v>
      </c>
      <c r="AR23" s="40">
        <f>IF(AR$5="Actual",SUMIFS(tbl_model_feed_final[actual_operating_profit_gbp],tbl_model_feed_final[reporting_month_date],AR$4)/'02_Control'!$B$18,AR10-AR21)</f>
        <v>-1955383.7972000055</v>
      </c>
      <c r="AS23" s="40">
        <f>IF(AS$5="Actual",SUMIFS(tbl_model_feed_final[actual_operating_profit_gbp],tbl_model_feed_final[reporting_month_date],AS$4)/'02_Control'!$B$18,AS10-AS21)</f>
        <v>-1974780.8422840051</v>
      </c>
      <c r="AT23" s="40">
        <f>IF(AT$5="Actual",SUMIFS(tbl_model_feed_final[actual_operating_profit_gbp],tbl_model_feed_final[reporting_month_date],AT$4)/'02_Control'!$B$18,AT10-AT21)</f>
        <v>-1994370.6034757411</v>
      </c>
      <c r="AU23" s="40">
        <f>IF(AU$5="Actual",SUMIFS(tbl_model_feed_final[actual_operating_profit_gbp],tbl_model_feed_final[reporting_month_date],AU$4)/'02_Control'!$B$18,AU10-AU21)</f>
        <v>-2014154.9979015458</v>
      </c>
      <c r="AV23" s="40">
        <f>IF(AV$5="Actual",SUMIFS(tbl_model_feed_final[actual_operating_profit_gbp],tbl_model_feed_final[reporting_month_date],AV$4)/'02_Control'!$B$18,AV10-AV21)</f>
        <v>-2034135.9617787367</v>
      </c>
      <c r="AW23" s="40">
        <f>IF(AW$5="Actual",SUMIFS(tbl_model_feed_final[actual_operating_profit_gbp],tbl_model_feed_final[reporting_month_date],AW$4)/'02_Control'!$B$18,AW10-AW21)</f>
        <v>-2054315.4506058851</v>
      </c>
      <c r="AX23" s="40">
        <f>IF(AX$5="Actual",SUMIFS(tbl_model_feed_final[actual_operating_profit_gbp],tbl_model_feed_final[reporting_month_date],AX$4)/'02_Control'!$B$18,AX10-AX21)</f>
        <v>-2074695.4393549804</v>
      </c>
      <c r="AY23" s="40">
        <f>IF(AY$5="Actual",SUMIFS(tbl_model_feed_final[actual_operating_profit_gbp],tbl_model_feed_final[reporting_month_date],AY$4)/'02_Control'!$B$18,AY10-AY21)</f>
        <v>-2095277.9226655103</v>
      </c>
      <c r="AZ23" s="40">
        <f>IF(AZ$5="Actual",SUMIFS(tbl_model_feed_final[actual_operating_profit_gbp],tbl_model_feed_final[reporting_month_date],AZ$4)/'02_Control'!$B$18,AZ10-AZ21)</f>
        <v>-2116064.9150404818</v>
      </c>
      <c r="BA23" s="40">
        <f>IF(BA$5="Actual",SUMIFS(tbl_model_feed_final[actual_operating_profit_gbp],tbl_model_feed_final[reporting_month_date],BA$4)/'02_Control'!$B$18,BA10-BA21)</f>
        <v>-2137058.451044389</v>
      </c>
      <c r="BB23" s="40">
        <f>IF(BB$5="Actual",SUMIFS(tbl_model_feed_final[actual_operating_profit_gbp],tbl_model_feed_final[reporting_month_date],BB$4)/'02_Control'!$B$18,BB10-BB21)</f>
        <v>-2158260.5855031637</v>
      </c>
      <c r="BC23" s="40">
        <f>IF(BC$5="Actual",SUMIFS(tbl_model_feed_final[actual_operating_profit_gbp],tbl_model_feed_final[reporting_month_date],BC$4)/'02_Control'!$B$18,BC10-BC21)</f>
        <v>-2179673.3937061131</v>
      </c>
      <c r="BD23" s="40">
        <f>IF(BD$5="Actual",SUMIFS(tbl_model_feed_final[actual_operating_profit_gbp],tbl_model_feed_final[reporting_month_date],BD$4)/'02_Control'!$B$18,BD10-BD21)</f>
        <v>-2201298.9716098746</v>
      </c>
      <c r="BE23" s="40">
        <f>IF(BE$5="Actual",SUMIFS(tbl_model_feed_final[actual_operating_profit_gbp],tbl_model_feed_final[reporting_month_date],BE$4)/'02_Control'!$B$18,BE10-BE21)</f>
        <v>-2223139.4360444089</v>
      </c>
      <c r="BF23" s="40">
        <f>IF(BF$5="Actual",SUMIFS(tbl_model_feed_final[actual_operating_profit_gbp],tbl_model_feed_final[reporting_month_date],BF$4)/'02_Control'!$B$18,BF10-BF21)</f>
        <v>-2245196.924921033</v>
      </c>
      <c r="BG23" s="40">
        <f>IF(BG$5="Actual",SUMIFS(tbl_model_feed_final[actual_operating_profit_gbp],tbl_model_feed_final[reporting_month_date],BG$4)/'02_Control'!$B$18,BG10-BG21)</f>
        <v>-2267473.5974425543</v>
      </c>
      <c r="BH23" s="40">
        <f>IF(BH$5="Actual",SUMIFS(tbl_model_feed_final[actual_operating_profit_gbp],tbl_model_feed_final[reporting_month_date],BH$4)/'02_Control'!$B$18,BH10-BH21)</f>
        <v>-2289971.6343154693</v>
      </c>
      <c r="BI23" s="40">
        <f>IF(BI$5="Actual",SUMIFS(tbl_model_feed_final[actual_operating_profit_gbp],tbl_model_feed_final[reporting_month_date],BI$4)/'02_Control'!$B$18,BI10-BI21)</f>
        <v>-2312693.2379643014</v>
      </c>
      <c r="BJ23" s="40">
        <f>IF(BJ$5="Actual",SUMIFS(tbl_model_feed_final[actual_operating_profit_gbp],tbl_model_feed_final[reporting_month_date],BJ$4)/'02_Control'!$B$18,BJ10-BJ21)</f>
        <v>-2335640.6327480683</v>
      </c>
      <c r="BK23" s="40">
        <f>IF(BK$5="Actual",SUMIFS(tbl_model_feed_final[actual_operating_profit_gbp],tbl_model_feed_final[reporting_month_date],BK$4)/'02_Control'!$B$18,BK10-BK21)</f>
        <v>-2358816.0651789038</v>
      </c>
      <c r="BL23" s="40">
        <f>IF(BL$5="Actual",SUMIFS(tbl_model_feed_final[actual_operating_profit_gbp],tbl_model_feed_final[reporting_month_date],BL$4)/'02_Control'!$B$18,BL10-BL21)</f>
        <v>-2382221.8041428747</v>
      </c>
      <c r="BM23" s="40">
        <f>IF(BM$5="Actual",SUMIFS(tbl_model_feed_final[actual_operating_profit_gbp],tbl_model_feed_final[reporting_month_date],BM$4)/'02_Control'!$B$18,BM10-BM21)</f>
        <v>-2405860.1411229828</v>
      </c>
      <c r="BN23" s="40">
        <f>IF(BN$5="Actual",SUMIFS(tbl_model_feed_final[actual_operating_profit_gbp],tbl_model_feed_final[reporting_month_date],BN$4)/'02_Control'!$B$18,BN10-BN21)</f>
        <v>-2429733.3904244034</v>
      </c>
      <c r="BO23" s="40">
        <f>IF(BO$5="Actual",SUMIFS(tbl_model_feed_final[actual_operating_profit_gbp],tbl_model_feed_final[reporting_month_date],BO$4)/'02_Control'!$B$18,BO10-BO21)</f>
        <v>-2453843.8894019583</v>
      </c>
      <c r="BP23" s="40">
        <f>IF(BP$5="Actual",SUMIFS(tbl_model_feed_final[actual_operating_profit_gbp],tbl_model_feed_final[reporting_month_date],BP$4)/'02_Control'!$B$18,BP10-BP21)</f>
        <v>-2478193.9986898769</v>
      </c>
      <c r="BQ23" s="40">
        <f>IF(BQ$5="Actual",SUMIFS(tbl_model_feed_final[actual_operating_profit_gbp],tbl_model_feed_final[reporting_month_date],BQ$4)/'02_Control'!$B$18,BQ10-BQ21)</f>
        <v>-2502786.102433823</v>
      </c>
      <c r="BR23" s="40">
        <f>IF(BR$5="Actual",SUMIFS(tbl_model_feed_final[actual_operating_profit_gbp],tbl_model_feed_final[reporting_month_date],BR$4)/'02_Control'!$B$18,BR10-BR21)</f>
        <v>-2527622.6085252659</v>
      </c>
      <c r="BS23" s="40">
        <f>IF(BS$5="Actual",SUMIFS(tbl_model_feed_final[actual_operating_profit_gbp],tbl_model_feed_final[reporting_month_date],BS$4)/'02_Control'!$B$18,BS10-BS21)</f>
        <v>-2552705.9488381613</v>
      </c>
      <c r="BT23" s="40">
        <f>IF(BT$5="Actual",SUMIFS(tbl_model_feed_final[actual_operating_profit_gbp],tbl_model_feed_final[reporting_month_date],BT$4)/'02_Control'!$B$18,BT10-BT21)</f>
        <v>-2578038.5794680053</v>
      </c>
      <c r="BU23" s="40">
        <f>IF(BU$5="Actual",SUMIFS(tbl_model_feed_final[actual_operating_profit_gbp],tbl_model_feed_final[reporting_month_date],BU$4)/'02_Control'!$B$18,BU10-BU21)</f>
        <v>-2603622.98097328</v>
      </c>
      <c r="BV23" s="40">
        <f>IF(BV$5="Actual",SUMIFS(tbl_model_feed_final[actual_operating_profit_gbp],tbl_model_feed_final[reporting_month_date],BV$4)/'02_Control'!$B$18,BV10-BV21)</f>
        <v>-2629461.658619293</v>
      </c>
      <c r="BW23" s="40">
        <f>IF(BW$5="Actual",SUMIFS(tbl_model_feed_final[actual_operating_profit_gbp],tbl_model_feed_final[reporting_month_date],BW$4)/'02_Control'!$B$18,BW10-BW21)</f>
        <v>-2655557.1426244555</v>
      </c>
      <c r="BX23" s="40">
        <f>IF(BX$5="Actual",SUMIFS(tbl_model_feed_final[actual_operating_profit_gbp],tbl_model_feed_final[reporting_month_date],BX$4)/'02_Control'!$B$18,BX10-BX21)</f>
        <v>-2681911.9884090228</v>
      </c>
      <c r="BY23" s="40">
        <f>IF(BY$5="Actual",SUMIFS(tbl_model_feed_final[actual_operating_profit_gbp],tbl_model_feed_final[reporting_month_date],BY$4)/'02_Control'!$B$18,BY10-BY21)</f>
        <v>-2708528.7768462989</v>
      </c>
      <c r="BZ23" s="40">
        <f>IF(BZ$5="Actual",SUMIFS(tbl_model_feed_final[actual_operating_profit_gbp],tbl_model_feed_final[reporting_month_date],BZ$4)/'02_Control'!$B$18,BZ10-BZ21)</f>
        <v>-2735410.1145163765</v>
      </c>
      <c r="CA23" s="40">
        <f>IF(CA$5="Actual",SUMIFS(tbl_model_feed_final[actual_operating_profit_gbp],tbl_model_feed_final[reporting_month_date],CA$4)/'02_Control'!$B$18,CA10-CA21)</f>
        <v>-2762558.6339623667</v>
      </c>
      <c r="CB23" s="40">
        <f>IF(CB$5="Actual",SUMIFS(tbl_model_feed_final[actual_operating_profit_gbp],tbl_model_feed_final[reporting_month_date],CB$4)/'02_Control'!$B$18,CB10-CB21)</f>
        <v>-2789976.9939492233</v>
      </c>
      <c r="CC23" s="40">
        <f>IF(CC$5="Actual",SUMIFS(tbl_model_feed_final[actual_operating_profit_gbp],tbl_model_feed_final[reporting_month_date],CC$4)/'02_Control'!$B$18,CC10-CC21)</f>
        <v>-2817667.8797251284</v>
      </c>
      <c r="CD23" s="40">
        <f>IF(CD$5="Actual",SUMIFS(tbl_model_feed_final[actual_operating_profit_gbp],tbl_model_feed_final[reporting_month_date],CD$4)/'02_Control'!$B$18,CD10-CD21)</f>
        <v>-2845634.0032854807</v>
      </c>
      <c r="CE23" s="40">
        <f>IF(CE$5="Actual",SUMIFS(tbl_model_feed_final[actual_operating_profit_gbp],tbl_model_feed_final[reporting_month_date],CE$4)/'02_Control'!$B$18,CE10-CE21)</f>
        <v>-2873878.1036395431</v>
      </c>
      <c r="CF23" s="40">
        <f>IF(CF$5="Actual",SUMIFS(tbl_model_feed_final[actual_operating_profit_gbp],tbl_model_feed_final[reporting_month_date],CF$4)/'02_Control'!$B$18,CF10-CF21)</f>
        <v>-2902402.9470797144</v>
      </c>
      <c r="CG23" s="40">
        <f>IF(CG$5="Actual",SUMIFS(tbl_model_feed_final[actual_operating_profit_gbp],tbl_model_feed_final[reporting_month_date],CG$4)/'02_Control'!$B$18,CG10-CG21)</f>
        <v>-2931211.3274535201</v>
      </c>
    </row>
    <row r="24" spans="1:85" x14ac:dyDescent="0.3">
      <c r="A24" s="26" t="s">
        <v>144</v>
      </c>
      <c r="B24" s="37">
        <f>IF(B$5="Actual",B10-B21-B23,0)</f>
        <v>0</v>
      </c>
      <c r="C24" s="37">
        <f t="shared" ref="C24:AQ24" si="8">IF(C$5="Actual",C10-C21-C23,0)</f>
        <v>0</v>
      </c>
      <c r="D24" s="37">
        <f t="shared" si="8"/>
        <v>0</v>
      </c>
      <c r="E24" s="37">
        <f t="shared" si="8"/>
        <v>0</v>
      </c>
      <c r="F24" s="37">
        <f t="shared" si="8"/>
        <v>0</v>
      </c>
      <c r="G24" s="37">
        <f t="shared" si="8"/>
        <v>0</v>
      </c>
      <c r="H24" s="37">
        <f t="shared" si="8"/>
        <v>0</v>
      </c>
      <c r="I24" s="37">
        <f t="shared" si="8"/>
        <v>0</v>
      </c>
      <c r="J24" s="37">
        <f t="shared" si="8"/>
        <v>0</v>
      </c>
      <c r="K24" s="37">
        <f t="shared" si="8"/>
        <v>0</v>
      </c>
      <c r="L24" s="37">
        <f t="shared" si="8"/>
        <v>0</v>
      </c>
      <c r="M24" s="37">
        <f t="shared" si="8"/>
        <v>0</v>
      </c>
      <c r="N24" s="37">
        <f t="shared" si="8"/>
        <v>0</v>
      </c>
      <c r="O24" s="37">
        <f t="shared" si="8"/>
        <v>0</v>
      </c>
      <c r="P24" s="37">
        <f t="shared" si="8"/>
        <v>0</v>
      </c>
      <c r="Q24" s="37">
        <f t="shared" si="8"/>
        <v>0</v>
      </c>
      <c r="R24" s="37">
        <f t="shared" si="8"/>
        <v>0</v>
      </c>
      <c r="S24" s="37">
        <f t="shared" si="8"/>
        <v>0</v>
      </c>
      <c r="T24" s="37">
        <f t="shared" si="8"/>
        <v>0</v>
      </c>
      <c r="U24" s="37">
        <f t="shared" si="8"/>
        <v>0</v>
      </c>
      <c r="V24" s="37">
        <f t="shared" si="8"/>
        <v>0</v>
      </c>
      <c r="W24" s="37">
        <f t="shared" si="8"/>
        <v>0</v>
      </c>
      <c r="X24" s="37">
        <f t="shared" si="8"/>
        <v>0</v>
      </c>
      <c r="Y24" s="37">
        <f t="shared" si="8"/>
        <v>0</v>
      </c>
      <c r="Z24" s="37">
        <f t="shared" si="8"/>
        <v>0</v>
      </c>
      <c r="AA24" s="37">
        <f t="shared" si="8"/>
        <v>0</v>
      </c>
      <c r="AB24" s="37">
        <f t="shared" si="8"/>
        <v>0</v>
      </c>
      <c r="AC24" s="37">
        <f t="shared" si="8"/>
        <v>0</v>
      </c>
      <c r="AD24" s="37">
        <f t="shared" si="8"/>
        <v>0</v>
      </c>
      <c r="AE24" s="37">
        <f t="shared" si="8"/>
        <v>0</v>
      </c>
      <c r="AF24" s="37">
        <f t="shared" si="8"/>
        <v>0</v>
      </c>
      <c r="AG24" s="37">
        <f t="shared" si="8"/>
        <v>0</v>
      </c>
      <c r="AH24" s="37">
        <f t="shared" si="8"/>
        <v>0</v>
      </c>
      <c r="AI24" s="37">
        <f t="shared" si="8"/>
        <v>0</v>
      </c>
      <c r="AJ24" s="37">
        <f t="shared" si="8"/>
        <v>0</v>
      </c>
      <c r="AK24" s="37">
        <f t="shared" si="8"/>
        <v>0</v>
      </c>
      <c r="AL24" s="37">
        <f t="shared" si="8"/>
        <v>0</v>
      </c>
      <c r="AM24" s="37">
        <f t="shared" si="8"/>
        <v>0</v>
      </c>
      <c r="AN24" s="37">
        <f t="shared" si="8"/>
        <v>0</v>
      </c>
      <c r="AO24" s="37">
        <f t="shared" si="8"/>
        <v>0</v>
      </c>
      <c r="AP24" s="37">
        <f t="shared" si="8"/>
        <v>0</v>
      </c>
      <c r="AQ24" s="38">
        <f t="shared" si="8"/>
        <v>0</v>
      </c>
      <c r="AR24" s="37">
        <f>IF(AR$5="Actual",AR10-AR21-AR23,0)</f>
        <v>0</v>
      </c>
      <c r="AS24" s="37">
        <f t="shared" ref="AS24:CG24" si="9">IF(AS$5="Actual",AS10-AS21-AS23,0)</f>
        <v>0</v>
      </c>
      <c r="AT24" s="37">
        <f t="shared" si="9"/>
        <v>0</v>
      </c>
      <c r="AU24" s="37">
        <f t="shared" si="9"/>
        <v>0</v>
      </c>
      <c r="AV24" s="37">
        <f t="shared" si="9"/>
        <v>0</v>
      </c>
      <c r="AW24" s="37">
        <f t="shared" si="9"/>
        <v>0</v>
      </c>
      <c r="AX24" s="37">
        <f t="shared" si="9"/>
        <v>0</v>
      </c>
      <c r="AY24" s="37">
        <f t="shared" si="9"/>
        <v>0</v>
      </c>
      <c r="AZ24" s="37">
        <f t="shared" si="9"/>
        <v>0</v>
      </c>
      <c r="BA24" s="37">
        <f t="shared" si="9"/>
        <v>0</v>
      </c>
      <c r="BB24" s="37">
        <f t="shared" si="9"/>
        <v>0</v>
      </c>
      <c r="BC24" s="37">
        <f t="shared" si="9"/>
        <v>0</v>
      </c>
      <c r="BD24" s="37">
        <f t="shared" si="9"/>
        <v>0</v>
      </c>
      <c r="BE24" s="37">
        <f t="shared" si="9"/>
        <v>0</v>
      </c>
      <c r="BF24" s="37">
        <f t="shared" si="9"/>
        <v>0</v>
      </c>
      <c r="BG24" s="37">
        <f t="shared" si="9"/>
        <v>0</v>
      </c>
      <c r="BH24" s="37">
        <f t="shared" si="9"/>
        <v>0</v>
      </c>
      <c r="BI24" s="37">
        <f t="shared" si="9"/>
        <v>0</v>
      </c>
      <c r="BJ24" s="37">
        <f t="shared" si="9"/>
        <v>0</v>
      </c>
      <c r="BK24" s="37">
        <f t="shared" si="9"/>
        <v>0</v>
      </c>
      <c r="BL24" s="37">
        <f t="shared" si="9"/>
        <v>0</v>
      </c>
      <c r="BM24" s="37">
        <f t="shared" si="9"/>
        <v>0</v>
      </c>
      <c r="BN24" s="37">
        <f t="shared" si="9"/>
        <v>0</v>
      </c>
      <c r="BO24" s="37">
        <f t="shared" si="9"/>
        <v>0</v>
      </c>
      <c r="BP24" s="37">
        <f t="shared" si="9"/>
        <v>0</v>
      </c>
      <c r="BQ24" s="37">
        <f t="shared" si="9"/>
        <v>0</v>
      </c>
      <c r="BR24" s="37">
        <f t="shared" si="9"/>
        <v>0</v>
      </c>
      <c r="BS24" s="37">
        <f t="shared" si="9"/>
        <v>0</v>
      </c>
      <c r="BT24" s="37">
        <f t="shared" si="9"/>
        <v>0</v>
      </c>
      <c r="BU24" s="37">
        <f t="shared" si="9"/>
        <v>0</v>
      </c>
      <c r="BV24" s="37">
        <f t="shared" si="9"/>
        <v>0</v>
      </c>
      <c r="BW24" s="37">
        <f t="shared" si="9"/>
        <v>0</v>
      </c>
      <c r="BX24" s="37">
        <f t="shared" si="9"/>
        <v>0</v>
      </c>
      <c r="BY24" s="37">
        <f t="shared" si="9"/>
        <v>0</v>
      </c>
      <c r="BZ24" s="37">
        <f t="shared" si="9"/>
        <v>0</v>
      </c>
      <c r="CA24" s="37">
        <f t="shared" si="9"/>
        <v>0</v>
      </c>
      <c r="CB24" s="37">
        <f t="shared" si="9"/>
        <v>0</v>
      </c>
      <c r="CC24" s="37">
        <f t="shared" si="9"/>
        <v>0</v>
      </c>
      <c r="CD24" s="37">
        <f t="shared" si="9"/>
        <v>0</v>
      </c>
      <c r="CE24" s="37">
        <f t="shared" si="9"/>
        <v>0</v>
      </c>
      <c r="CF24" s="37">
        <f t="shared" si="9"/>
        <v>0</v>
      </c>
      <c r="CG24" s="37">
        <f t="shared" si="9"/>
        <v>0</v>
      </c>
    </row>
    <row r="25" spans="1:85" x14ac:dyDescent="0.3">
      <c r="A25" s="42" t="s">
        <v>135</v>
      </c>
      <c r="B25" s="43">
        <f>IF(B$5="Actual",SUMIFS(tbl_model_feed_final[actual_operating_margin],tbl_model_feed_final[reporting_month_date],B$4),"")</f>
        <v>-2.3630099588482123</v>
      </c>
      <c r="C25" s="43">
        <f>IF(C$5="Actual",SUMIFS(tbl_model_feed_final[actual_operating_margin],tbl_model_feed_final[reporting_month_date],C$4),"")</f>
        <v>-2.2827385185396425</v>
      </c>
      <c r="D25" s="43">
        <f>IF(D$5="Actual",SUMIFS(tbl_model_feed_final[actual_operating_margin],tbl_model_feed_final[reporting_month_date],D$4),"")</f>
        <v>-1.7990355237879698</v>
      </c>
      <c r="E25" s="43">
        <f>IF(E$5="Actual",SUMIFS(tbl_model_feed_final[actual_operating_margin],tbl_model_feed_final[reporting_month_date],E$4),"")</f>
        <v>-1.6493225091310848</v>
      </c>
      <c r="F25" s="43">
        <f>IF(F$5="Actual",SUMIFS(tbl_model_feed_final[actual_operating_margin],tbl_model_feed_final[reporting_month_date],F$4),"")</f>
        <v>-1.2955279084906832</v>
      </c>
      <c r="G25" s="43">
        <f>IF(G$5="Actual",SUMIFS(tbl_model_feed_final[actual_operating_margin],tbl_model_feed_final[reporting_month_date],G$4),"")</f>
        <v>-1.1545191063057807</v>
      </c>
      <c r="H25" s="43">
        <f>IF(H$5="Actual",SUMIFS(tbl_model_feed_final[actual_operating_margin],tbl_model_feed_final[reporting_month_date],H$4),"")</f>
        <v>-0.95465151107893986</v>
      </c>
      <c r="I25" s="43">
        <f>IF(I$5="Actual",SUMIFS(tbl_model_feed_final[actual_operating_margin],tbl_model_feed_final[reporting_month_date],I$4),"")</f>
        <v>-0.88601695319800233</v>
      </c>
      <c r="J25" s="43">
        <f>IF(J$5="Actual",SUMIFS(tbl_model_feed_final[actual_operating_margin],tbl_model_feed_final[reporting_month_date],J$4),"")</f>
        <v>-0.64264619869922679</v>
      </c>
      <c r="K25" s="43">
        <f>IF(K$5="Actual",SUMIFS(tbl_model_feed_final[actual_operating_margin],tbl_model_feed_final[reporting_month_date],K$4),"")</f>
        <v>-0.60606951209785498</v>
      </c>
      <c r="L25" s="43">
        <f>IF(L$5="Actual",SUMIFS(tbl_model_feed_final[actual_operating_margin],tbl_model_feed_final[reporting_month_date],L$4),"")</f>
        <v>-0.58076838525817998</v>
      </c>
      <c r="M25" s="43">
        <f>IF(M$5="Actual",SUMIFS(tbl_model_feed_final[actual_operating_margin],tbl_model_feed_final[reporting_month_date],M$4),"")</f>
        <v>-0.42716643153085809</v>
      </c>
      <c r="N25" s="43">
        <f>IF(N$5="Actual",SUMIFS(tbl_model_feed_final[actual_operating_margin],tbl_model_feed_final[reporting_month_date],N$4),"")</f>
        <v>-0.43664123044675091</v>
      </c>
      <c r="O25" s="43">
        <f>IF(O$5="Actual",SUMIFS(tbl_model_feed_final[actual_operating_margin],tbl_model_feed_final[reporting_month_date],O$4),"")</f>
        <v>-0.52404954454413499</v>
      </c>
      <c r="P25" s="43">
        <f>IF(P$5="Actual",SUMIFS(tbl_model_feed_final[actual_operating_margin],tbl_model_feed_final[reporting_month_date],P$4),"")</f>
        <v>-0.41541913384532214</v>
      </c>
      <c r="Q25" s="43">
        <f>IF(Q$5="Actual",SUMIFS(tbl_model_feed_final[actual_operating_margin],tbl_model_feed_final[reporting_month_date],Q$4),"")</f>
        <v>-0.37443227570697868</v>
      </c>
      <c r="R25" s="43">
        <f>IF(R$5="Actual",SUMIFS(tbl_model_feed_final[actual_operating_margin],tbl_model_feed_final[reporting_month_date],R$4),"")</f>
        <v>-0.43543373905464855</v>
      </c>
      <c r="S25" s="43">
        <f>IF(S$5="Actual",SUMIFS(tbl_model_feed_final[actual_operating_margin],tbl_model_feed_final[reporting_month_date],S$4),"")</f>
        <v>-0.40761329713630046</v>
      </c>
      <c r="T25" s="43">
        <f>IF(T$5="Actual",SUMIFS(tbl_model_feed_final[actual_operating_margin],tbl_model_feed_final[reporting_month_date],T$4),"")</f>
        <v>-0.3495290991518144</v>
      </c>
      <c r="U25" s="43">
        <f>IF(U$5="Actual",SUMIFS(tbl_model_feed_final[actual_operating_margin],tbl_model_feed_final[reporting_month_date],U$4),"")</f>
        <v>-0.36263362299716578</v>
      </c>
      <c r="V25" s="43">
        <f>IF(V$5="Actual",SUMIFS(tbl_model_feed_final[actual_operating_margin],tbl_model_feed_final[reporting_month_date],V$4),"")</f>
        <v>-0.41642398764051825</v>
      </c>
      <c r="W25" s="43">
        <f>IF(W$5="Actual",SUMIFS(tbl_model_feed_final[actual_operating_margin],tbl_model_feed_final[reporting_month_date],W$4),"")</f>
        <v>-0.35876436148775603</v>
      </c>
      <c r="X25" s="43">
        <f>IF(X$5="Actual",SUMIFS(tbl_model_feed_final[actual_operating_margin],tbl_model_feed_final[reporting_month_date],X$4),"")</f>
        <v>-0.4242656019479063</v>
      </c>
      <c r="Y25" s="43">
        <f>IF(Y$5="Actual",SUMIFS(tbl_model_feed_final[actual_operating_margin],tbl_model_feed_final[reporting_month_date],Y$4),"")</f>
        <v>-0.38278481341097259</v>
      </c>
      <c r="Z25" s="43">
        <f>IF(Z$5="Actual",SUMIFS(tbl_model_feed_final[actual_operating_margin],tbl_model_feed_final[reporting_month_date],Z$4),"")</f>
        <v>-0.33385272944676364</v>
      </c>
      <c r="AA25" s="43">
        <f>IF(AA$5="Actual",SUMIFS(tbl_model_feed_final[actual_operating_margin],tbl_model_feed_final[reporting_month_date],AA$4),"")</f>
        <v>-0.39985887442260276</v>
      </c>
      <c r="AB25" s="43">
        <f>IF(AB$5="Actual",SUMIFS(tbl_model_feed_final[actual_operating_margin],tbl_model_feed_final[reporting_month_date],AB$4),"")</f>
        <v>-0.34531484557589243</v>
      </c>
      <c r="AC25" s="43">
        <f>IF(AC$5="Actual",SUMIFS(tbl_model_feed_final[actual_operating_margin],tbl_model_feed_final[reporting_month_date],AC$4),"")</f>
        <v>-0.35204860635867374</v>
      </c>
      <c r="AD25" s="43">
        <f>IF(AD$5="Actual",SUMIFS(tbl_model_feed_final[actual_operating_margin],tbl_model_feed_final[reporting_month_date],AD$4),"")</f>
        <v>-0.36076955466058636</v>
      </c>
      <c r="AE25" s="43">
        <f>IF(AE$5="Actual",SUMIFS(tbl_model_feed_final[actual_operating_margin],tbl_model_feed_final[reporting_month_date],AE$4),"")</f>
        <v>-0.39655328940755552</v>
      </c>
      <c r="AF25" s="43">
        <f>IF(AF$5="Actual",SUMIFS(tbl_model_feed_final[actual_operating_margin],tbl_model_feed_final[reporting_month_date],AF$4),"")</f>
        <v>-0.4277268577581102</v>
      </c>
      <c r="AG25" s="43">
        <f>IF(AG$5="Actual",SUMIFS(tbl_model_feed_final[actual_operating_margin],tbl_model_feed_final[reporting_month_date],AG$4),"")</f>
        <v>-0.34408470033204291</v>
      </c>
      <c r="AH25" s="43">
        <f>IF(AH$5="Actual",SUMIFS(tbl_model_feed_final[actual_operating_margin],tbl_model_feed_final[reporting_month_date],AH$4),"")</f>
        <v>-0.41939258486894709</v>
      </c>
      <c r="AI25" s="43">
        <f>IF(AI$5="Actual",SUMIFS(tbl_model_feed_final[actual_operating_margin],tbl_model_feed_final[reporting_month_date],AI$4),"")</f>
        <v>-0.40678386472566119</v>
      </c>
      <c r="AJ25" s="43">
        <f>IF(AJ$5="Actual",SUMIFS(tbl_model_feed_final[actual_operating_margin],tbl_model_feed_final[reporting_month_date],AJ$4),"")</f>
        <v>-0.39969180682247524</v>
      </c>
      <c r="AK25" s="43">
        <f>IF(AK$5="Actual",SUMIFS(tbl_model_feed_final[actual_operating_margin],tbl_model_feed_final[reporting_month_date],AK$4),"")</f>
        <v>-0.42845718701186247</v>
      </c>
      <c r="AL25" s="43">
        <f>IF(AL$5="Actual",SUMIFS(tbl_model_feed_final[actual_operating_margin],tbl_model_feed_final[reporting_month_date],AL$4),"")</f>
        <v>-0.40136279426674348</v>
      </c>
      <c r="AM25" s="43">
        <f>IF(AM$5="Actual",SUMIFS(tbl_model_feed_final[actual_operating_margin],tbl_model_feed_final[reporting_month_date],AM$4),"")</f>
        <v>-0.48792941030631126</v>
      </c>
      <c r="AN25" s="43">
        <f>IF(AN$5="Actual",SUMIFS(tbl_model_feed_final[actual_operating_margin],tbl_model_feed_final[reporting_month_date],AN$4),"")</f>
        <v>-0.4022503925002201</v>
      </c>
      <c r="AO25" s="43">
        <f>IF(AO$5="Actual",SUMIFS(tbl_model_feed_final[actual_operating_margin],tbl_model_feed_final[reporting_month_date],AO$4),"")</f>
        <v>-0.4457941636751252</v>
      </c>
      <c r="AP25" s="43">
        <f>IF(AP$5="Actual",SUMIFS(tbl_model_feed_final[actual_operating_margin],tbl_model_feed_final[reporting_month_date],AP$4),"")</f>
        <v>-0.39822253209246672</v>
      </c>
      <c r="AQ25" s="44">
        <f>IF(AQ$5="Actual",SUMIFS(tbl_model_feed_final[actual_operating_margin],tbl_model_feed_final[reporting_month_date],AQ$4),"")</f>
        <v>-0.33397413054920355</v>
      </c>
      <c r="AR25" s="43">
        <f>IFERROR(AR23/AR10,"")</f>
        <v>-0.33394756540994408</v>
      </c>
      <c r="AS25" s="43">
        <f t="shared" ref="AS25:CG25" si="10">IFERROR(AS23/AS10,"")</f>
        <v>-0.33392105287492074</v>
      </c>
      <c r="AT25" s="43">
        <f t="shared" si="10"/>
        <v>-0.33389459283996686</v>
      </c>
      <c r="AU25" s="43">
        <f t="shared" si="10"/>
        <v>-0.33386818520112183</v>
      </c>
      <c r="AV25" s="43">
        <f t="shared" si="10"/>
        <v>-0.3338418298546309</v>
      </c>
      <c r="AW25" s="43">
        <f t="shared" si="10"/>
        <v>-0.33381552669694498</v>
      </c>
      <c r="AX25" s="43">
        <f t="shared" si="10"/>
        <v>-0.33378927562471983</v>
      </c>
      <c r="AY25" s="43">
        <f t="shared" si="10"/>
        <v>-0.33376307653481579</v>
      </c>
      <c r="AZ25" s="43">
        <f t="shared" si="10"/>
        <v>-0.33373692932429788</v>
      </c>
      <c r="BA25" s="43">
        <f t="shared" si="10"/>
        <v>-0.33371083389043432</v>
      </c>
      <c r="BB25" s="43">
        <f t="shared" si="10"/>
        <v>-0.3336847901306973</v>
      </c>
      <c r="BC25" s="43">
        <f t="shared" si="10"/>
        <v>-0.33365879794276176</v>
      </c>
      <c r="BD25" s="43">
        <f t="shared" si="10"/>
        <v>-0.3336328572245052</v>
      </c>
      <c r="BE25" s="43">
        <f t="shared" si="10"/>
        <v>-0.33360696787400779</v>
      </c>
      <c r="BF25" s="43">
        <f t="shared" si="10"/>
        <v>-0.33358112978955057</v>
      </c>
      <c r="BG25" s="43">
        <f t="shared" si="10"/>
        <v>-0.33355534286961719</v>
      </c>
      <c r="BH25" s="43">
        <f t="shared" si="10"/>
        <v>-0.33352960701289164</v>
      </c>
      <c r="BI25" s="43">
        <f t="shared" si="10"/>
        <v>-0.33350392211825858</v>
      </c>
      <c r="BJ25" s="43">
        <f t="shared" si="10"/>
        <v>-0.33347828808480323</v>
      </c>
      <c r="BK25" s="43">
        <f t="shared" si="10"/>
        <v>-0.33345270481180983</v>
      </c>
      <c r="BL25" s="43">
        <f t="shared" si="10"/>
        <v>-0.33342717219876294</v>
      </c>
      <c r="BM25" s="43">
        <f t="shared" si="10"/>
        <v>-0.33340169014534593</v>
      </c>
      <c r="BN25" s="43">
        <f t="shared" si="10"/>
        <v>-0.33337625855144082</v>
      </c>
      <c r="BO25" s="43">
        <f t="shared" si="10"/>
        <v>-0.33335087731712748</v>
      </c>
      <c r="BP25" s="43">
        <f t="shared" si="10"/>
        <v>-0.3333255463426843</v>
      </c>
      <c r="BQ25" s="43">
        <f t="shared" si="10"/>
        <v>-0.33330026552858616</v>
      </c>
      <c r="BR25" s="43">
        <f t="shared" si="10"/>
        <v>-0.33327503477550613</v>
      </c>
      <c r="BS25" s="43">
        <f t="shared" si="10"/>
        <v>-0.33324985398431356</v>
      </c>
      <c r="BT25" s="43">
        <f t="shared" si="10"/>
        <v>-0.33322472305607365</v>
      </c>
      <c r="BU25" s="43">
        <f t="shared" si="10"/>
        <v>-0.33319964189204815</v>
      </c>
      <c r="BV25" s="43">
        <f t="shared" si="10"/>
        <v>-0.33317461039369412</v>
      </c>
      <c r="BW25" s="43">
        <f t="shared" si="10"/>
        <v>-0.33314962846266344</v>
      </c>
      <c r="BX25" s="43">
        <f t="shared" si="10"/>
        <v>-0.3331246960008033</v>
      </c>
      <c r="BY25" s="43">
        <f t="shared" si="10"/>
        <v>-0.33309981291015428</v>
      </c>
      <c r="BZ25" s="43">
        <f t="shared" si="10"/>
        <v>-0.33307497909295253</v>
      </c>
      <c r="CA25" s="43">
        <f t="shared" si="10"/>
        <v>-0.33305019445162626</v>
      </c>
      <c r="CB25" s="43">
        <f t="shared" si="10"/>
        <v>-0.3330254588887977</v>
      </c>
      <c r="CC25" s="43">
        <f t="shared" si="10"/>
        <v>-0.33300077230728187</v>
      </c>
      <c r="CD25" s="43">
        <f t="shared" si="10"/>
        <v>-0.33297613461008552</v>
      </c>
      <c r="CE25" s="43">
        <f t="shared" si="10"/>
        <v>-0.33295154570040858</v>
      </c>
      <c r="CF25" s="43">
        <f t="shared" si="10"/>
        <v>-0.33292700548164178</v>
      </c>
      <c r="CG25" s="43">
        <f t="shared" si="10"/>
        <v>-0.3329025138573678</v>
      </c>
    </row>
    <row r="26" spans="1:85" x14ac:dyDescent="0.3">
      <c r="A26" s="26" t="s">
        <v>136</v>
      </c>
      <c r="B26" s="108">
        <f>IF(B$5="Actual",SUMIFS(tbl_model_feed_final[active_fte_count],tbl_model_feed_final[reporting_month_date],B$4),"")</f>
        <v>452</v>
      </c>
      <c r="C26" s="108">
        <f>IF(C$5="Actual",SUMIFS(tbl_model_feed_final[active_fte_count],tbl_model_feed_final[reporting_month_date],C$4),"")</f>
        <v>461</v>
      </c>
      <c r="D26" s="108">
        <f>IF(D$5="Actual",SUMIFS(tbl_model_feed_final[active_fte_count],tbl_model_feed_final[reporting_month_date],D$4),"")</f>
        <v>476</v>
      </c>
      <c r="E26" s="108">
        <f>IF(E$5="Actual",SUMIFS(tbl_model_feed_final[active_fte_count],tbl_model_feed_final[reporting_month_date],E$4),"")</f>
        <v>487</v>
      </c>
      <c r="F26" s="108">
        <f>IF(F$5="Actual",SUMIFS(tbl_model_feed_final[active_fte_count],tbl_model_feed_final[reporting_month_date],F$4),"")</f>
        <v>496</v>
      </c>
      <c r="G26" s="108">
        <f>IF(G$5="Actual",SUMIFS(tbl_model_feed_final[active_fte_count],tbl_model_feed_final[reporting_month_date],G$4),"")</f>
        <v>505</v>
      </c>
      <c r="H26" s="108">
        <f>IF(H$5="Actual",SUMIFS(tbl_model_feed_final[active_fte_count],tbl_model_feed_final[reporting_month_date],H$4),"")</f>
        <v>513</v>
      </c>
      <c r="I26" s="108">
        <f>IF(I$5="Actual",SUMIFS(tbl_model_feed_final[active_fte_count],tbl_model_feed_final[reporting_month_date],I$4),"")</f>
        <v>520</v>
      </c>
      <c r="J26" s="108">
        <f>IF(J$5="Actual",SUMIFS(tbl_model_feed_final[active_fte_count],tbl_model_feed_final[reporting_month_date],J$4),"")</f>
        <v>531</v>
      </c>
      <c r="K26" s="108">
        <f>IF(K$5="Actual",SUMIFS(tbl_model_feed_final[active_fte_count],tbl_model_feed_final[reporting_month_date],K$4),"")</f>
        <v>536</v>
      </c>
      <c r="L26" s="108">
        <f>IF(L$5="Actual",SUMIFS(tbl_model_feed_final[active_fte_count],tbl_model_feed_final[reporting_month_date],L$4),"")</f>
        <v>546</v>
      </c>
      <c r="M26" s="108">
        <f>IF(M$5="Actual",SUMIFS(tbl_model_feed_final[active_fte_count],tbl_model_feed_final[reporting_month_date],M$4),"")</f>
        <v>552</v>
      </c>
      <c r="N26" s="108">
        <f>IF(N$5="Actual",SUMIFS(tbl_model_feed_final[active_fte_count],tbl_model_feed_final[reporting_month_date],N$4),"")</f>
        <v>564</v>
      </c>
      <c r="O26" s="108">
        <f>IF(O$5="Actual",SUMIFS(tbl_model_feed_final[active_fte_count],tbl_model_feed_final[reporting_month_date],O$4),"")</f>
        <v>574</v>
      </c>
      <c r="P26" s="108">
        <f>IF(P$5="Actual",SUMIFS(tbl_model_feed_final[active_fte_count],tbl_model_feed_final[reporting_month_date],P$4),"")</f>
        <v>582</v>
      </c>
      <c r="Q26" s="108">
        <f>IF(Q$5="Actual",SUMIFS(tbl_model_feed_final[active_fte_count],tbl_model_feed_final[reporting_month_date],Q$4),"")</f>
        <v>592</v>
      </c>
      <c r="R26" s="108">
        <f>IF(R$5="Actual",SUMIFS(tbl_model_feed_final[active_fte_count],tbl_model_feed_final[reporting_month_date],R$4),"")</f>
        <v>609</v>
      </c>
      <c r="S26" s="108">
        <f>IF(S$5="Actual",SUMIFS(tbl_model_feed_final[active_fte_count],tbl_model_feed_final[reporting_month_date],S$4),"")</f>
        <v>621</v>
      </c>
      <c r="T26" s="108">
        <f>IF(T$5="Actual",SUMIFS(tbl_model_feed_final[active_fte_count],tbl_model_feed_final[reporting_month_date],T$4),"")</f>
        <v>626</v>
      </c>
      <c r="U26" s="108">
        <f>IF(U$5="Actual",SUMIFS(tbl_model_feed_final[active_fte_count],tbl_model_feed_final[reporting_month_date],U$4),"")</f>
        <v>636</v>
      </c>
      <c r="V26" s="108">
        <f>IF(V$5="Actual",SUMIFS(tbl_model_feed_final[active_fte_count],tbl_model_feed_final[reporting_month_date],V$4),"")</f>
        <v>648</v>
      </c>
      <c r="W26" s="108">
        <f>IF(W$5="Actual",SUMIFS(tbl_model_feed_final[active_fte_count],tbl_model_feed_final[reporting_month_date],W$4),"")</f>
        <v>666</v>
      </c>
      <c r="X26" s="108">
        <f>IF(X$5="Actual",SUMIFS(tbl_model_feed_final[active_fte_count],tbl_model_feed_final[reporting_month_date],X$4),"")</f>
        <v>676</v>
      </c>
      <c r="Y26" s="108">
        <f>IF(Y$5="Actual",SUMIFS(tbl_model_feed_final[active_fte_count],tbl_model_feed_final[reporting_month_date],Y$4),"")</f>
        <v>685</v>
      </c>
      <c r="Z26" s="108">
        <f>IF(Z$5="Actual",SUMIFS(tbl_model_feed_final[active_fte_count],tbl_model_feed_final[reporting_month_date],Z$4),"")</f>
        <v>695</v>
      </c>
      <c r="AA26" s="108">
        <f>IF(AA$5="Actual",SUMIFS(tbl_model_feed_final[active_fte_count],tbl_model_feed_final[reporting_month_date],AA$4),"")</f>
        <v>701</v>
      </c>
      <c r="AB26" s="108">
        <f>IF(AB$5="Actual",SUMIFS(tbl_model_feed_final[active_fte_count],tbl_model_feed_final[reporting_month_date],AB$4),"")</f>
        <v>721</v>
      </c>
      <c r="AC26" s="108">
        <f>IF(AC$5="Actual",SUMIFS(tbl_model_feed_final[active_fte_count],tbl_model_feed_final[reporting_month_date],AC$4),"")</f>
        <v>729</v>
      </c>
      <c r="AD26" s="108">
        <f>IF(AD$5="Actual",SUMIFS(tbl_model_feed_final[active_fte_count],tbl_model_feed_final[reporting_month_date],AD$4),"")</f>
        <v>739</v>
      </c>
      <c r="AE26" s="108">
        <f>IF(AE$5="Actual",SUMIFS(tbl_model_feed_final[active_fte_count],tbl_model_feed_final[reporting_month_date],AE$4),"")</f>
        <v>753</v>
      </c>
      <c r="AF26" s="108">
        <f>IF(AF$5="Actual",SUMIFS(tbl_model_feed_final[active_fte_count],tbl_model_feed_final[reporting_month_date],AF$4),"")</f>
        <v>765</v>
      </c>
      <c r="AG26" s="108">
        <f>IF(AG$5="Actual",SUMIFS(tbl_model_feed_final[active_fte_count],tbl_model_feed_final[reporting_month_date],AG$4),"")</f>
        <v>778</v>
      </c>
      <c r="AH26" s="108">
        <f>IF(AH$5="Actual",SUMIFS(tbl_model_feed_final[active_fte_count],tbl_model_feed_final[reporting_month_date],AH$4),"")</f>
        <v>792</v>
      </c>
      <c r="AI26" s="108">
        <f>IF(AI$5="Actual",SUMIFS(tbl_model_feed_final[active_fte_count],tbl_model_feed_final[reporting_month_date],AI$4),"")</f>
        <v>804</v>
      </c>
      <c r="AJ26" s="108">
        <f>IF(AJ$5="Actual",SUMIFS(tbl_model_feed_final[active_fte_count],tbl_model_feed_final[reporting_month_date],AJ$4),"")</f>
        <v>816</v>
      </c>
      <c r="AK26" s="108">
        <f>IF(AK$5="Actual",SUMIFS(tbl_model_feed_final[active_fte_count],tbl_model_feed_final[reporting_month_date],AK$4),"")</f>
        <v>819</v>
      </c>
      <c r="AL26" s="108">
        <f>IF(AL$5="Actual",SUMIFS(tbl_model_feed_final[active_fte_count],tbl_model_feed_final[reporting_month_date],AL$4),"")</f>
        <v>825</v>
      </c>
      <c r="AM26" s="108">
        <f>IF(AM$5="Actual",SUMIFS(tbl_model_feed_final[active_fte_count],tbl_model_feed_final[reporting_month_date],AM$4),"")</f>
        <v>831</v>
      </c>
      <c r="AN26" s="108">
        <f>IF(AN$5="Actual",SUMIFS(tbl_model_feed_final[active_fte_count],tbl_model_feed_final[reporting_month_date],AN$4),"")</f>
        <v>840</v>
      </c>
      <c r="AO26" s="108">
        <f>IF(AO$5="Actual",SUMIFS(tbl_model_feed_final[active_fte_count],tbl_model_feed_final[reporting_month_date],AO$4),"")</f>
        <v>847</v>
      </c>
      <c r="AP26" s="108">
        <f>IF(AP$5="Actual",SUMIFS(tbl_model_feed_final[active_fte_count],tbl_model_feed_final[reporting_month_date],AP$4),"")</f>
        <v>852</v>
      </c>
      <c r="AQ26" s="108">
        <f>IF(AQ$5="Actual",SUMIFS(tbl_model_feed_final[active_fte_count],tbl_model_feed_final[reporting_month_date],AQ$4),"")</f>
        <v>854</v>
      </c>
      <c r="AR26" s="108">
        <f>IF(AR$5="Actual",SUMIFS(tbl_model_feed_final[active_fte_count],tbl_model_feed_final[reporting_month_date],AR$4),AQ26*(1+_xlfn.XLOOKUP("FTE Growth %",tbl_assumptions[Driver],tbl_assumptions[Selected Scenario])))</f>
        <v>859.12400000000002</v>
      </c>
      <c r="AS26" s="108">
        <f>IF(AS$5="Actual",SUMIFS(tbl_model_feed_final[active_fte_count],tbl_model_feed_final[reporting_month_date],AS$4),AR26*(1+_xlfn.XLOOKUP("FTE Growth %",tbl_assumptions[Driver],tbl_assumptions[Selected Scenario])))</f>
        <v>864.27874400000007</v>
      </c>
      <c r="AT26" s="108">
        <f>IF(AT$5="Actual",SUMIFS(tbl_model_feed_final[active_fte_count],tbl_model_feed_final[reporting_month_date],AT$4),AS26*(1+_xlfn.XLOOKUP("FTE Growth %",tbl_assumptions[Driver],tbl_assumptions[Selected Scenario])))</f>
        <v>869.46441646400012</v>
      </c>
      <c r="AU26" s="108">
        <f>IF(AU$5="Actual",SUMIFS(tbl_model_feed_final[active_fte_count],tbl_model_feed_final[reporting_month_date],AU$4),AT26*(1+_xlfn.XLOOKUP("FTE Growth %",tbl_assumptions[Driver],tbl_assumptions[Selected Scenario])))</f>
        <v>874.68120296278414</v>
      </c>
      <c r="AV26" s="108">
        <f>IF(AV$5="Actual",SUMIFS(tbl_model_feed_final[active_fte_count],tbl_model_feed_final[reporting_month_date],AV$4),AU26*(1+_xlfn.XLOOKUP("FTE Growth %",tbl_assumptions[Driver],tbl_assumptions[Selected Scenario])))</f>
        <v>879.92929018056088</v>
      </c>
      <c r="AW26" s="108">
        <f>IF(AW$5="Actual",SUMIFS(tbl_model_feed_final[active_fte_count],tbl_model_feed_final[reporting_month_date],AW$4),AV26*(1+_xlfn.XLOOKUP("FTE Growth %",tbl_assumptions[Driver],tbl_assumptions[Selected Scenario])))</f>
        <v>885.20886592164425</v>
      </c>
      <c r="AX26" s="108">
        <f>IF(AX$5="Actual",SUMIFS(tbl_model_feed_final[active_fte_count],tbl_model_feed_final[reporting_month_date],AX$4),AW26*(1+_xlfn.XLOOKUP("FTE Growth %",tbl_assumptions[Driver],tbl_assumptions[Selected Scenario])))</f>
        <v>890.52011911717409</v>
      </c>
      <c r="AY26" s="108">
        <f>IF(AY$5="Actual",SUMIFS(tbl_model_feed_final[active_fte_count],tbl_model_feed_final[reporting_month_date],AY$4),AX26*(1+_xlfn.XLOOKUP("FTE Growth %",tbl_assumptions[Driver],tbl_assumptions[Selected Scenario])))</f>
        <v>895.86323983187719</v>
      </c>
      <c r="AZ26" s="108">
        <f>IF(AZ$5="Actual",SUMIFS(tbl_model_feed_final[active_fte_count],tbl_model_feed_final[reporting_month_date],AZ$4),AY26*(1+_xlfn.XLOOKUP("FTE Growth %",tbl_assumptions[Driver],tbl_assumptions[Selected Scenario])))</f>
        <v>901.23841927086846</v>
      </c>
      <c r="BA26" s="108">
        <f>IF(BA$5="Actual",SUMIFS(tbl_model_feed_final[active_fte_count],tbl_model_feed_final[reporting_month_date],BA$4),AZ26*(1+_xlfn.XLOOKUP("FTE Growth %",tbl_assumptions[Driver],tbl_assumptions[Selected Scenario])))</f>
        <v>906.64584978649373</v>
      </c>
      <c r="BB26" s="108">
        <f>IF(BB$5="Actual",SUMIFS(tbl_model_feed_final[active_fte_count],tbl_model_feed_final[reporting_month_date],BB$4),BA26*(1+_xlfn.XLOOKUP("FTE Growth %",tbl_assumptions[Driver],tbl_assumptions[Selected Scenario])))</f>
        <v>912.0857248852127</v>
      </c>
      <c r="BC26" s="108">
        <f>IF(BC$5="Actual",SUMIFS(tbl_model_feed_final[active_fte_count],tbl_model_feed_final[reporting_month_date],BC$4),BB26*(1+_xlfn.XLOOKUP("FTE Growth %",tbl_assumptions[Driver],tbl_assumptions[Selected Scenario])))</f>
        <v>917.55823923452397</v>
      </c>
      <c r="BD26" s="108">
        <f>IF(BD$5="Actual",SUMIFS(tbl_model_feed_final[active_fte_count],tbl_model_feed_final[reporting_month_date],BD$4),BC26*(1+_xlfn.XLOOKUP("FTE Growth %",tbl_assumptions[Driver],tbl_assumptions[Selected Scenario])))</f>
        <v>923.06358866993116</v>
      </c>
      <c r="BE26" s="108">
        <f>IF(BE$5="Actual",SUMIFS(tbl_model_feed_final[active_fte_count],tbl_model_feed_final[reporting_month_date],BE$4),BD26*(1+_xlfn.XLOOKUP("FTE Growth %",tbl_assumptions[Driver],tbl_assumptions[Selected Scenario])))</f>
        <v>928.60197020195073</v>
      </c>
      <c r="BF26" s="108">
        <f>IF(BF$5="Actual",SUMIFS(tbl_model_feed_final[active_fte_count],tbl_model_feed_final[reporting_month_date],BF$4),BE26*(1+_xlfn.XLOOKUP("FTE Growth %",tbl_assumptions[Driver],tbl_assumptions[Selected Scenario])))</f>
        <v>934.17358202316245</v>
      </c>
      <c r="BG26" s="108">
        <f>IF(BG$5="Actual",SUMIFS(tbl_model_feed_final[active_fte_count],tbl_model_feed_final[reporting_month_date],BG$4),BF26*(1+_xlfn.XLOOKUP("FTE Growth %",tbl_assumptions[Driver],tbl_assumptions[Selected Scenario])))</f>
        <v>939.77862351530143</v>
      </c>
      <c r="BH26" s="108">
        <f>IF(BH$5="Actual",SUMIFS(tbl_model_feed_final[active_fte_count],tbl_model_feed_final[reporting_month_date],BH$4),BG26*(1+_xlfn.XLOOKUP("FTE Growth %",tbl_assumptions[Driver],tbl_assumptions[Selected Scenario])))</f>
        <v>945.41729525639323</v>
      </c>
      <c r="BI26" s="108">
        <f>IF(BI$5="Actual",SUMIFS(tbl_model_feed_final[active_fte_count],tbl_model_feed_final[reporting_month_date],BI$4),BH26*(1+_xlfn.XLOOKUP("FTE Growth %",tbl_assumptions[Driver],tbl_assumptions[Selected Scenario])))</f>
        <v>951.08979902793158</v>
      </c>
      <c r="BJ26" s="108">
        <f>IF(BJ$5="Actual",SUMIFS(tbl_model_feed_final[active_fte_count],tbl_model_feed_final[reporting_month_date],BJ$4),BI26*(1+_xlfn.XLOOKUP("FTE Growth %",tbl_assumptions[Driver],tbl_assumptions[Selected Scenario])))</f>
        <v>956.79633782209919</v>
      </c>
      <c r="BK26" s="108">
        <f>IF(BK$5="Actual",SUMIFS(tbl_model_feed_final[active_fte_count],tbl_model_feed_final[reporting_month_date],BK$4),BJ26*(1+_xlfn.XLOOKUP("FTE Growth %",tbl_assumptions[Driver],tbl_assumptions[Selected Scenario])))</f>
        <v>962.53711584903181</v>
      </c>
      <c r="BL26" s="108">
        <f>IF(BL$5="Actual",SUMIFS(tbl_model_feed_final[active_fte_count],tbl_model_feed_final[reporting_month_date],BL$4),BK26*(1+_xlfn.XLOOKUP("FTE Growth %",tbl_assumptions[Driver],tbl_assumptions[Selected Scenario])))</f>
        <v>968.31233854412596</v>
      </c>
      <c r="BM26" s="108">
        <f>IF(BM$5="Actual",SUMIFS(tbl_model_feed_final[active_fte_count],tbl_model_feed_final[reporting_month_date],BM$4),BL26*(1+_xlfn.XLOOKUP("FTE Growth %",tbl_assumptions[Driver],tbl_assumptions[Selected Scenario])))</f>
        <v>974.12221257539068</v>
      </c>
      <c r="BN26" s="108">
        <f>IF(BN$5="Actual",SUMIFS(tbl_model_feed_final[active_fte_count],tbl_model_feed_final[reporting_month_date],BN$4),BM26*(1+_xlfn.XLOOKUP("FTE Growth %",tbl_assumptions[Driver],tbl_assumptions[Selected Scenario])))</f>
        <v>979.96694585084299</v>
      </c>
      <c r="BO26" s="108">
        <f>IF(BO$5="Actual",SUMIFS(tbl_model_feed_final[active_fte_count],tbl_model_feed_final[reporting_month_date],BO$4),BN26*(1+_xlfn.XLOOKUP("FTE Growth %",tbl_assumptions[Driver],tbl_assumptions[Selected Scenario])))</f>
        <v>985.8467475259481</v>
      </c>
      <c r="BP26" s="108">
        <f>IF(BP$5="Actual",SUMIFS(tbl_model_feed_final[active_fte_count],tbl_model_feed_final[reporting_month_date],BP$4),BO26*(1+_xlfn.XLOOKUP("FTE Growth %",tbl_assumptions[Driver],tbl_assumptions[Selected Scenario])))</f>
        <v>991.76182801110383</v>
      </c>
      <c r="BQ26" s="108">
        <f>IF(BQ$5="Actual",SUMIFS(tbl_model_feed_final[active_fte_count],tbl_model_feed_final[reporting_month_date],BQ$4),BP26*(1+_xlfn.XLOOKUP("FTE Growth %",tbl_assumptions[Driver],tbl_assumptions[Selected Scenario])))</f>
        <v>997.71239897917042</v>
      </c>
      <c r="BR26" s="108">
        <f>IF(BR$5="Actual",SUMIFS(tbl_model_feed_final[active_fte_count],tbl_model_feed_final[reporting_month_date],BR$4),BQ26*(1+_xlfn.XLOOKUP("FTE Growth %",tbl_assumptions[Driver],tbl_assumptions[Selected Scenario])))</f>
        <v>1003.6986733730455</v>
      </c>
      <c r="BS26" s="108">
        <f>IF(BS$5="Actual",SUMIFS(tbl_model_feed_final[active_fte_count],tbl_model_feed_final[reporting_month_date],BS$4),BR26*(1+_xlfn.XLOOKUP("FTE Growth %",tbl_assumptions[Driver],tbl_assumptions[Selected Scenario])))</f>
        <v>1009.7208654132837</v>
      </c>
      <c r="BT26" s="108">
        <f>IF(BT$5="Actual",SUMIFS(tbl_model_feed_final[active_fte_count],tbl_model_feed_final[reporting_month_date],BT$4),BS26*(1+_xlfn.XLOOKUP("FTE Growth %",tbl_assumptions[Driver],tbl_assumptions[Selected Scenario])))</f>
        <v>1015.7791906057635</v>
      </c>
      <c r="BU26" s="108">
        <f>IF(BU$5="Actual",SUMIFS(tbl_model_feed_final[active_fte_count],tbl_model_feed_final[reporting_month_date],BU$4),BT26*(1+_xlfn.XLOOKUP("FTE Growth %",tbl_assumptions[Driver],tbl_assumptions[Selected Scenario])))</f>
        <v>1021.8738657493981</v>
      </c>
      <c r="BV26" s="108">
        <f>IF(BV$5="Actual",SUMIFS(tbl_model_feed_final[active_fte_count],tbl_model_feed_final[reporting_month_date],BV$4),BU26*(1+_xlfn.XLOOKUP("FTE Growth %",tbl_assumptions[Driver],tbl_assumptions[Selected Scenario])))</f>
        <v>1028.0051089438946</v>
      </c>
      <c r="BW26" s="108">
        <f>IF(BW$5="Actual",SUMIFS(tbl_model_feed_final[active_fte_count],tbl_model_feed_final[reporting_month_date],BW$4),BV26*(1+_xlfn.XLOOKUP("FTE Growth %",tbl_assumptions[Driver],tbl_assumptions[Selected Scenario])))</f>
        <v>1034.173139597558</v>
      </c>
      <c r="BX26" s="108">
        <f>IF(BX$5="Actual",SUMIFS(tbl_model_feed_final[active_fte_count],tbl_model_feed_final[reporting_month_date],BX$4),BW26*(1+_xlfn.XLOOKUP("FTE Growth %",tbl_assumptions[Driver],tbl_assumptions[Selected Scenario])))</f>
        <v>1040.3781784351434</v>
      </c>
      <c r="BY26" s="108">
        <f>IF(BY$5="Actual",SUMIFS(tbl_model_feed_final[active_fte_count],tbl_model_feed_final[reporting_month_date],BY$4),BX26*(1+_xlfn.XLOOKUP("FTE Growth %",tbl_assumptions[Driver],tbl_assumptions[Selected Scenario])))</f>
        <v>1046.6204475057543</v>
      </c>
      <c r="BZ26" s="108">
        <f>IF(BZ$5="Actual",SUMIFS(tbl_model_feed_final[active_fte_count],tbl_model_feed_final[reporting_month_date],BZ$4),BY26*(1+_xlfn.XLOOKUP("FTE Growth %",tbl_assumptions[Driver],tbl_assumptions[Selected Scenario])))</f>
        <v>1052.9001701907889</v>
      </c>
      <c r="CA26" s="108">
        <f>IF(CA$5="Actual",SUMIFS(tbl_model_feed_final[active_fte_count],tbl_model_feed_final[reporting_month_date],CA$4),BZ26*(1+_xlfn.XLOOKUP("FTE Growth %",tbl_assumptions[Driver],tbl_assumptions[Selected Scenario])))</f>
        <v>1059.2175712119335</v>
      </c>
      <c r="CB26" s="108">
        <f>IF(CB$5="Actual",SUMIFS(tbl_model_feed_final[active_fte_count],tbl_model_feed_final[reporting_month_date],CB$4),CA26*(1+_xlfn.XLOOKUP("FTE Growth %",tbl_assumptions[Driver],tbl_assumptions[Selected Scenario])))</f>
        <v>1065.5728766392051</v>
      </c>
      <c r="CC26" s="108">
        <f>IF(CC$5="Actual",SUMIFS(tbl_model_feed_final[active_fte_count],tbl_model_feed_final[reporting_month_date],CC$4),CB26*(1+_xlfn.XLOOKUP("FTE Growth %",tbl_assumptions[Driver],tbl_assumptions[Selected Scenario])))</f>
        <v>1071.9663138990404</v>
      </c>
      <c r="CD26" s="108">
        <f>IF(CD$5="Actual",SUMIFS(tbl_model_feed_final[active_fte_count],tbl_model_feed_final[reporting_month_date],CD$4),CC26*(1+_xlfn.XLOOKUP("FTE Growth %",tbl_assumptions[Driver],tbl_assumptions[Selected Scenario])))</f>
        <v>1078.3981117824346</v>
      </c>
      <c r="CE26" s="108">
        <f>IF(CE$5="Actual",SUMIFS(tbl_model_feed_final[active_fte_count],tbl_model_feed_final[reporting_month_date],CE$4),CD26*(1+_xlfn.XLOOKUP("FTE Growth %",tbl_assumptions[Driver],tbl_assumptions[Selected Scenario])))</f>
        <v>1084.8685004531292</v>
      </c>
      <c r="CF26" s="108">
        <f>IF(CF$5="Actual",SUMIFS(tbl_model_feed_final[active_fte_count],tbl_model_feed_final[reporting_month_date],CF$4),CE26*(1+_xlfn.XLOOKUP("FTE Growth %",tbl_assumptions[Driver],tbl_assumptions[Selected Scenario])))</f>
        <v>1091.3777114558479</v>
      </c>
      <c r="CG26" s="108">
        <f>IF(CG$5="Actual",SUMIFS(tbl_model_feed_final[active_fte_count],tbl_model_feed_final[reporting_month_date],CG$4),CF26*(1+_xlfn.XLOOKUP("FTE Growth %",tbl_assumptions[Driver],tbl_assumptions[Selected Scenario])))</f>
        <v>1097.9259777245829</v>
      </c>
    </row>
    <row r="27" spans="1:85" x14ac:dyDescent="0.3">
      <c r="A27" s="26" t="s">
        <v>137</v>
      </c>
      <c r="B27" s="35">
        <f>IF(B$5="Actual",SUMIFS(tbl_model_feed_final[revenue_per_active_fte_gbp],tbl_model_feed_final[reporting_month_date],B$4)/'02_Control'!$B$18,"")</f>
        <v>3244.7487389380535</v>
      </c>
      <c r="C27" s="35">
        <f>IF(C$5="Actual",SUMIFS(tbl_model_feed_final[revenue_per_active_fte_gbp],tbl_model_feed_final[reporting_month_date],C$4)/'02_Control'!$B$18,"")</f>
        <v>3561.203774403471</v>
      </c>
      <c r="D27" s="35">
        <f>IF(D$5="Actual",SUMIFS(tbl_model_feed_final[revenue_per_active_fte_gbp],tbl_model_feed_final[reporting_month_date],D$4)/'02_Control'!$B$18,"")</f>
        <v>4028.8206512605061</v>
      </c>
      <c r="E27" s="35">
        <f>IF(E$5="Actual",SUMIFS(tbl_model_feed_final[revenue_per_active_fte_gbp],tbl_model_feed_final[reporting_month_date],E$4)/'02_Control'!$B$18,"")</f>
        <v>4359.1061601642787</v>
      </c>
      <c r="F27" s="35">
        <f>IF(F$5="Actual",SUMIFS(tbl_model_feed_final[revenue_per_active_fte_gbp],tbl_model_feed_final[reporting_month_date],F$4)/'02_Control'!$B$18,"")</f>
        <v>4785.828568548387</v>
      </c>
      <c r="G27" s="35">
        <f>IF(G$5="Actual",SUMIFS(tbl_model_feed_final[revenue_per_active_fte_gbp],tbl_model_feed_final[reporting_month_date],G$4)/'02_Control'!$B$18,"")</f>
        <v>5196.165386138613</v>
      </c>
      <c r="H27" s="35">
        <f>IF(H$5="Actual",SUMIFS(tbl_model_feed_final[revenue_per_active_fte_gbp],tbl_model_feed_final[reporting_month_date],H$4)/'02_Control'!$B$18,"")</f>
        <v>5651.7792592592541</v>
      </c>
      <c r="I27" s="35">
        <f>IF(I$5="Actual",SUMIFS(tbl_model_feed_final[revenue_per_active_fte_gbp],tbl_model_feed_final[reporting_month_date],I$4)/'02_Control'!$B$18,"")</f>
        <v>6083.081923076923</v>
      </c>
      <c r="J27" s="35">
        <f>IF(J$5="Actual",SUMIFS(tbl_model_feed_final[revenue_per_active_fte_gbp],tbl_model_feed_final[reporting_month_date],J$4)/'02_Control'!$B$18,"")</f>
        <v>6352.985141242928</v>
      </c>
      <c r="K27" s="35">
        <f>IF(K$5="Actual",SUMIFS(tbl_model_feed_final[revenue_per_active_fte_gbp],tbl_model_feed_final[reporting_month_date],K$4)/'02_Control'!$B$18,"")</f>
        <v>6790.7705783582096</v>
      </c>
      <c r="L27" s="35">
        <f>IF(L$5="Actual",SUMIFS(tbl_model_feed_final[revenue_per_active_fte_gbp],tbl_model_feed_final[reporting_month_date],L$4)/'02_Control'!$B$18,"")</f>
        <v>6904.8457509157324</v>
      </c>
      <c r="M27" s="35">
        <f>IF(M$5="Actual",SUMIFS(tbl_model_feed_final[revenue_per_active_fte_gbp],tbl_model_feed_final[reporting_month_date],M$4)/'02_Control'!$B$18,"")</f>
        <v>7437.2941666666829</v>
      </c>
      <c r="N27" s="35">
        <f>IF(N$5="Actual",SUMIFS(tbl_model_feed_final[revenue_per_active_fte_gbp],tbl_model_feed_final[reporting_month_date],N$4)/'02_Control'!$B$18,"")</f>
        <v>7438.1494148936381</v>
      </c>
      <c r="O27" s="35">
        <f>IF(O$5="Actual",SUMIFS(tbl_model_feed_final[revenue_per_active_fte_gbp],tbl_model_feed_final[reporting_month_date],O$4)/'02_Control'!$B$18,"")</f>
        <v>7152.215174216065</v>
      </c>
      <c r="P27" s="35">
        <f>IF(P$5="Actual",SUMIFS(tbl_model_feed_final[revenue_per_active_fte_gbp],tbl_model_feed_final[reporting_month_date],P$4)/'02_Control'!$B$18,"")</f>
        <v>7510.0623367697763</v>
      </c>
      <c r="Q27" s="35">
        <f>IF(Q$5="Actual",SUMIFS(tbl_model_feed_final[revenue_per_active_fte_gbp],tbl_model_feed_final[reporting_month_date],Q$4)/'02_Control'!$B$18,"")</f>
        <v>7354.3866047297051</v>
      </c>
      <c r="R27" s="35">
        <f>IF(R$5="Actual",SUMIFS(tbl_model_feed_final[revenue_per_active_fte_gbp],tbl_model_feed_final[reporting_month_date],R$4)/'02_Control'!$B$18,"")</f>
        <v>7516.6646469622183</v>
      </c>
      <c r="S27" s="35">
        <f>IF(S$5="Actual",SUMIFS(tbl_model_feed_final[revenue_per_active_fte_gbp],tbl_model_feed_final[reporting_month_date],S$4)/'02_Control'!$B$18,"")</f>
        <v>7319.602979066005</v>
      </c>
      <c r="T27" s="35">
        <f>IF(T$5="Actual",SUMIFS(tbl_model_feed_final[revenue_per_active_fte_gbp],tbl_model_feed_final[reporting_month_date],T$4)/'02_Control'!$B$18,"")</f>
        <v>7538.6198722044419</v>
      </c>
      <c r="U27" s="35">
        <f>IF(U$5="Actual",SUMIFS(tbl_model_feed_final[revenue_per_active_fte_gbp],tbl_model_feed_final[reporting_month_date],U$4)/'02_Control'!$B$18,"")</f>
        <v>7615.8515408804624</v>
      </c>
      <c r="V27" s="35">
        <f>IF(V$5="Actual",SUMIFS(tbl_model_feed_final[revenue_per_active_fte_gbp],tbl_model_feed_final[reporting_month_date],V$4)/'02_Control'!$B$18,"")</f>
        <v>7435.1954783950459</v>
      </c>
      <c r="W27" s="35">
        <f>IF(W$5="Actual",SUMIFS(tbl_model_feed_final[revenue_per_active_fte_gbp],tbl_model_feed_final[reporting_month_date],W$4)/'02_Control'!$B$18,"")</f>
        <v>7536.2692342341998</v>
      </c>
      <c r="X27" s="35">
        <f>IF(X$5="Actual",SUMIFS(tbl_model_feed_final[revenue_per_active_fte_gbp],tbl_model_feed_final[reporting_month_date],X$4)/'02_Control'!$B$18,"")</f>
        <v>7378.4409319526521</v>
      </c>
      <c r="Y27" s="35">
        <f>IF(Y$5="Actual",SUMIFS(tbl_model_feed_final[revenue_per_active_fte_gbp],tbl_model_feed_final[reporting_month_date],Y$4)/'02_Control'!$B$18,"")</f>
        <v>7543.8461021897292</v>
      </c>
      <c r="Z27" s="35">
        <f>IF(Z$5="Actual",SUMIFS(tbl_model_feed_final[revenue_per_active_fte_gbp],tbl_model_feed_final[reporting_month_date],Z$4)/'02_Control'!$B$18,"")</f>
        <v>7582.7776258992189</v>
      </c>
      <c r="AA27" s="35">
        <f>IF(AA$5="Actual",SUMIFS(tbl_model_feed_final[revenue_per_active_fte_gbp],tbl_model_feed_final[reporting_month_date],AA$4)/'02_Control'!$B$18,"")</f>
        <v>7130.0406134094164</v>
      </c>
      <c r="AB27" s="35">
        <f>IF(AB$5="Actual",SUMIFS(tbl_model_feed_final[revenue_per_active_fte_gbp],tbl_model_feed_final[reporting_month_date],AB$4)/'02_Control'!$B$18,"")</f>
        <v>7454.7564493758209</v>
      </c>
      <c r="AC27" s="35">
        <f>IF(AC$5="Actual",SUMIFS(tbl_model_feed_final[revenue_per_active_fte_gbp],tbl_model_feed_final[reporting_month_date],AC$4)/'02_Control'!$B$18,"")</f>
        <v>7303.2810562414097</v>
      </c>
      <c r="AD27" s="35">
        <f>IF(AD$5="Actual",SUMIFS(tbl_model_feed_final[revenue_per_active_fte_gbp],tbl_model_feed_final[reporting_month_date],AD$4)/'02_Control'!$B$18,"")</f>
        <v>7450.3213261163328</v>
      </c>
      <c r="AE27" s="35">
        <f>IF(AE$5="Actual",SUMIFS(tbl_model_feed_final[revenue_per_active_fte_gbp],tbl_model_feed_final[reporting_month_date],AE$4)/'02_Control'!$B$18,"")</f>
        <v>7190.0029216467456</v>
      </c>
      <c r="AF27" s="35">
        <f>IF(AF$5="Actual",SUMIFS(tbl_model_feed_final[revenue_per_active_fte_gbp],tbl_model_feed_final[reporting_month_date],AF$4)/'02_Control'!$B$18,"")</f>
        <v>7351.6618954248133</v>
      </c>
      <c r="AG27" s="35">
        <f>IF(AG$5="Actual",SUMIFS(tbl_model_feed_final[revenue_per_active_fte_gbp],tbl_model_feed_final[reporting_month_date],AG$4)/'02_Control'!$B$18,"")</f>
        <v>7328.1102056554855</v>
      </c>
      <c r="AH27" s="35">
        <f>IF(AH$5="Actual",SUMIFS(tbl_model_feed_final[revenue_per_active_fte_gbp],tbl_model_feed_final[reporting_month_date],AH$4)/'02_Control'!$B$18,"")</f>
        <v>7098.1005681818033</v>
      </c>
      <c r="AI27" s="35">
        <f>IF(AI$5="Actual",SUMIFS(tbl_model_feed_final[revenue_per_active_fte_gbp],tbl_model_feed_final[reporting_month_date],AI$4)/'02_Control'!$B$18,"")</f>
        <v>7196.884228855668</v>
      </c>
      <c r="AJ27" s="35">
        <f>IF(AJ$5="Actual",SUMIFS(tbl_model_feed_final[revenue_per_active_fte_gbp],tbl_model_feed_final[reporting_month_date],AJ$4)/'02_Control'!$B$18,"")</f>
        <v>6983.0629289215531</v>
      </c>
      <c r="AK27" s="35">
        <f>IF(AK$5="Actual",SUMIFS(tbl_model_feed_final[revenue_per_active_fte_gbp],tbl_model_feed_final[reporting_month_date],AK$4)/'02_Control'!$B$18,"")</f>
        <v>7165.7721855921291</v>
      </c>
      <c r="AL27" s="35">
        <f>IF(AL$5="Actual",SUMIFS(tbl_model_feed_final[revenue_per_active_fte_gbp],tbl_model_feed_final[reporting_month_date],AL$4)/'02_Control'!$B$18,"")</f>
        <v>7185.3492242423717</v>
      </c>
      <c r="AM27" s="35">
        <f>IF(AM$5="Actual",SUMIFS(tbl_model_feed_final[revenue_per_active_fte_gbp],tbl_model_feed_final[reporting_month_date],AM$4)/'02_Control'!$B$18,"")</f>
        <v>6647.0276895306379</v>
      </c>
      <c r="AN27" s="35">
        <f>IF(AN$5="Actual",SUMIFS(tbl_model_feed_final[revenue_per_active_fte_gbp],tbl_model_feed_final[reporting_month_date],AN$4)/'02_Control'!$B$18,"")</f>
        <v>7017.292273809474</v>
      </c>
      <c r="AO27" s="35">
        <f>IF(AO$5="Actual",SUMIFS(tbl_model_feed_final[revenue_per_active_fte_gbp],tbl_model_feed_final[reporting_month_date],AO$4)/'02_Control'!$B$18,"")</f>
        <v>6812.2971310507528</v>
      </c>
      <c r="AP27" s="35">
        <f>IF(AP$5="Actual",SUMIFS(tbl_model_feed_final[revenue_per_active_fte_gbp],tbl_model_feed_final[reporting_month_date],AP$4)/'02_Control'!$B$18,"")</f>
        <v>6916.2173943661364</v>
      </c>
      <c r="AQ27" s="36">
        <f>IF(AQ$5="Actual",SUMIFS(tbl_model_feed_final[revenue_per_active_fte_gbp],tbl_model_feed_final[reporting_month_date],AQ$4)/'02_Control'!$B$18,"")</f>
        <v>6788.5103747072526</v>
      </c>
      <c r="AR27" s="35">
        <f>IFERROR(AR10/AR26,"")</f>
        <v>6815.5024636722919</v>
      </c>
      <c r="AS27" s="35">
        <f t="shared" ref="AS27:CG27" si="11">IFERROR(AS10/AS26,"")</f>
        <v>6842.6018770467344</v>
      </c>
      <c r="AT27" s="35">
        <f t="shared" si="11"/>
        <v>6869.8090415677943</v>
      </c>
      <c r="AU27" s="35">
        <f t="shared" si="11"/>
        <v>6897.1243856694555</v>
      </c>
      <c r="AV27" s="35">
        <f t="shared" si="11"/>
        <v>6924.5483394892144</v>
      </c>
      <c r="AW27" s="35">
        <f t="shared" si="11"/>
        <v>6952.081334874857</v>
      </c>
      <c r="AX27" s="35">
        <f t="shared" si="11"/>
        <v>6979.7238053912588</v>
      </c>
      <c r="AY27" s="35">
        <f t="shared" si="11"/>
        <v>7007.4761863272088</v>
      </c>
      <c r="AZ27" s="35">
        <f t="shared" si="11"/>
        <v>7035.3389147022672</v>
      </c>
      <c r="BA27" s="35">
        <f t="shared" si="11"/>
        <v>7063.3124292736466</v>
      </c>
      <c r="BB27" s="35">
        <f t="shared" si="11"/>
        <v>7091.397170543125</v>
      </c>
      <c r="BC27" s="35">
        <f t="shared" si="11"/>
        <v>7119.5935807639726</v>
      </c>
      <c r="BD27" s="35">
        <f t="shared" si="11"/>
        <v>7147.9021039479248</v>
      </c>
      <c r="BE27" s="35">
        <f t="shared" si="11"/>
        <v>7176.3231858721711</v>
      </c>
      <c r="BF27" s="35">
        <f t="shared" si="11"/>
        <v>7204.8572740863738</v>
      </c>
      <c r="BG27" s="35">
        <f t="shared" si="11"/>
        <v>7233.5048179197192</v>
      </c>
      <c r="BH27" s="35">
        <f t="shared" si="11"/>
        <v>7262.2662684879888</v>
      </c>
      <c r="BI27" s="35">
        <f t="shared" si="11"/>
        <v>7291.1420787006655</v>
      </c>
      <c r="BJ27" s="35">
        <f t="shared" si="11"/>
        <v>7320.1327032680629</v>
      </c>
      <c r="BK27" s="35">
        <f t="shared" si="11"/>
        <v>7349.2385987084926</v>
      </c>
      <c r="BL27" s="35">
        <f t="shared" si="11"/>
        <v>7378.460223355446</v>
      </c>
      <c r="BM27" s="35">
        <f t="shared" si="11"/>
        <v>7407.7980373648115</v>
      </c>
      <c r="BN27" s="35">
        <f t="shared" si="11"/>
        <v>7437.2525027221282</v>
      </c>
      <c r="BO27" s="35">
        <f t="shared" si="11"/>
        <v>7466.8240832498495</v>
      </c>
      <c r="BP27" s="35">
        <f t="shared" si="11"/>
        <v>7496.5132446146599</v>
      </c>
      <c r="BQ27" s="35">
        <f t="shared" si="11"/>
        <v>7526.3204543347974</v>
      </c>
      <c r="BR27" s="35">
        <f t="shared" si="11"/>
        <v>7556.2461817874209</v>
      </c>
      <c r="BS27" s="35">
        <f t="shared" si="11"/>
        <v>7586.2908982159997</v>
      </c>
      <c r="BT27" s="35">
        <f t="shared" si="11"/>
        <v>7616.4550767377332</v>
      </c>
      <c r="BU27" s="35">
        <f t="shared" si="11"/>
        <v>7646.739192351004</v>
      </c>
      <c r="BV27" s="35">
        <f t="shared" si="11"/>
        <v>7677.1437219428553</v>
      </c>
      <c r="BW27" s="35">
        <f t="shared" si="11"/>
        <v>7707.6691442965048</v>
      </c>
      <c r="BX27" s="35">
        <f t="shared" si="11"/>
        <v>7738.3159400988761</v>
      </c>
      <c r="BY27" s="35">
        <f t="shared" si="11"/>
        <v>7769.0845919481753</v>
      </c>
      <c r="BZ27" s="35">
        <f t="shared" si="11"/>
        <v>7799.9755843614885</v>
      </c>
      <c r="CA27" s="35">
        <f t="shared" si="11"/>
        <v>7830.9894037824097</v>
      </c>
      <c r="CB27" s="35">
        <f t="shared" si="11"/>
        <v>7862.1265385887027</v>
      </c>
      <c r="CC27" s="35">
        <f t="shared" si="11"/>
        <v>7893.3874790999889</v>
      </c>
      <c r="CD27" s="35">
        <f t="shared" si="11"/>
        <v>7924.772717585477</v>
      </c>
      <c r="CE27" s="35">
        <f t="shared" si="11"/>
        <v>7956.2827482717021</v>
      </c>
      <c r="CF27" s="35">
        <f t="shared" si="11"/>
        <v>7987.918067350317</v>
      </c>
      <c r="CG27" s="35">
        <f t="shared" si="11"/>
        <v>8019.6791729859051</v>
      </c>
    </row>
    <row r="28" spans="1:85" x14ac:dyDescent="0.3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182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</row>
    <row r="29" spans="1:85" x14ac:dyDescent="0.3">
      <c r="A29" s="23" t="s">
        <v>32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5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</row>
    <row r="30" spans="1:85" x14ac:dyDescent="0.3">
      <c r="A30" s="26" t="s">
        <v>2</v>
      </c>
      <c r="B30" s="27">
        <f>IF(B$5="Actual",SUMIFS(tbl_model_feed_final[cash_collected_gbp],tbl_model_feed_final[reporting_month_date],B$4)/'02_Control'!$B$18,"")</f>
        <v>3771182.2599999988</v>
      </c>
      <c r="C30" s="27">
        <f>IF(C$5="Actual",SUMIFS(tbl_model_feed_final[cash_collected_gbp],tbl_model_feed_final[reporting_month_date],C$4)/'02_Control'!$B$18,"")</f>
        <v>3312454.6799999969</v>
      </c>
      <c r="D30" s="27">
        <f>IF(D$5="Actual",SUMIFS(tbl_model_feed_final[cash_collected_gbp],tbl_model_feed_final[reporting_month_date],D$4)/'02_Control'!$B$18,"")</f>
        <v>3172057.87</v>
      </c>
      <c r="E30" s="27">
        <f>IF(E$5="Actual",SUMIFS(tbl_model_feed_final[cash_collected_gbp],tbl_model_feed_final[reporting_month_date],E$4)/'02_Control'!$B$18,"")</f>
        <v>3613516.5499999993</v>
      </c>
      <c r="F30" s="27">
        <f>IF(F$5="Actual",SUMIFS(tbl_model_feed_final[cash_collected_gbp],tbl_model_feed_final[reporting_month_date],F$4)/'02_Control'!$B$18,"")</f>
        <v>3000694.0399999996</v>
      </c>
      <c r="G30" s="27">
        <f>IF(G$5="Actual",SUMIFS(tbl_model_feed_final[cash_collected_gbp],tbl_model_feed_final[reporting_month_date],G$4)/'02_Control'!$B$18,"")</f>
        <v>3983097.2499999967</v>
      </c>
      <c r="H30" s="27">
        <f>IF(H$5="Actual",SUMIFS(tbl_model_feed_final[cash_collected_gbp],tbl_model_feed_final[reporting_month_date],H$4)/'02_Control'!$B$18,"")</f>
        <v>3687227.4399999976</v>
      </c>
      <c r="I30" s="27">
        <f>IF(I$5="Actual",SUMIFS(tbl_model_feed_final[cash_collected_gbp],tbl_model_feed_final[reporting_month_date],I$4)/'02_Control'!$B$18,"")</f>
        <v>4042353.8199999994</v>
      </c>
      <c r="J30" s="27">
        <f>IF(J$5="Actual",SUMIFS(tbl_model_feed_final[cash_collected_gbp],tbl_model_feed_final[reporting_month_date],J$4)/'02_Control'!$B$18,"")</f>
        <v>3796047.9</v>
      </c>
      <c r="K30" s="27">
        <f>IF(K$5="Actual",SUMIFS(tbl_model_feed_final[cash_collected_gbp],tbl_model_feed_final[reporting_month_date],K$4)/'02_Control'!$B$18,"")</f>
        <v>3921672.5900000022</v>
      </c>
      <c r="L30" s="27">
        <f>IF(L$5="Actual",SUMIFS(tbl_model_feed_final[cash_collected_gbp],tbl_model_feed_final[reporting_month_date],L$4)/'02_Control'!$B$18,"")</f>
        <v>3229596.2600000021</v>
      </c>
      <c r="M30" s="27">
        <f>IF(M$5="Actual",SUMIFS(tbl_model_feed_final[cash_collected_gbp],tbl_model_feed_final[reporting_month_date],M$4)/'02_Control'!$B$18,"")</f>
        <v>3925204.3599999971</v>
      </c>
      <c r="N30" s="27">
        <f>IF(N$5="Actual",SUMIFS(tbl_model_feed_final[cash_collected_gbp],tbl_model_feed_final[reporting_month_date],N$4)/'02_Control'!$B$18,"")</f>
        <v>4681784.9899999946</v>
      </c>
      <c r="O30" s="27">
        <f>IF(O$5="Actual",SUMIFS(tbl_model_feed_final[cash_collected_gbp],tbl_model_feed_final[reporting_month_date],O$4)/'02_Control'!$B$18,"")</f>
        <v>3839587.2999999984</v>
      </c>
      <c r="P30" s="27">
        <f>IF(P$5="Actual",SUMIFS(tbl_model_feed_final[cash_collected_gbp],tbl_model_feed_final[reporting_month_date],P$4)/'02_Control'!$B$18,"")</f>
        <v>4200103.42</v>
      </c>
      <c r="Q30" s="27">
        <f>IF(Q$5="Actual",SUMIFS(tbl_model_feed_final[cash_collected_gbp],tbl_model_feed_final[reporting_month_date],Q$4)/'02_Control'!$B$18,"")</f>
        <v>4088023.129999999</v>
      </c>
      <c r="R30" s="27">
        <f>IF(R$5="Actual",SUMIFS(tbl_model_feed_final[cash_collected_gbp],tbl_model_feed_final[reporting_month_date],R$4)/'02_Control'!$B$18,"")</f>
        <v>4983319.6099999947</v>
      </c>
      <c r="S30" s="27">
        <f>IF(S$5="Actual",SUMIFS(tbl_model_feed_final[cash_collected_gbp],tbl_model_feed_final[reporting_month_date],S$4)/'02_Control'!$B$18,"")</f>
        <v>4880432.2100000009</v>
      </c>
      <c r="T30" s="27">
        <f>IF(T$5="Actual",SUMIFS(tbl_model_feed_final[cash_collected_gbp],tbl_model_feed_final[reporting_month_date],T$4)/'02_Control'!$B$18,"")</f>
        <v>4303373.3800000018</v>
      </c>
      <c r="U30" s="27">
        <f>IF(U$5="Actual",SUMIFS(tbl_model_feed_final[cash_collected_gbp],tbl_model_feed_final[reporting_month_date],U$4)/'02_Control'!$B$18,"")</f>
        <v>5408493.8299999991</v>
      </c>
      <c r="V30" s="27">
        <f>IF(V$5="Actual",SUMIFS(tbl_model_feed_final[cash_collected_gbp],tbl_model_feed_final[reporting_month_date],V$4)/'02_Control'!$B$18,"")</f>
        <v>4555805.32</v>
      </c>
      <c r="W30" s="27">
        <f>IF(W$5="Actual",SUMIFS(tbl_model_feed_final[cash_collected_gbp],tbl_model_feed_final[reporting_month_date],W$4)/'02_Control'!$B$18,"")</f>
        <v>4667284.0000000009</v>
      </c>
      <c r="X30" s="27">
        <f>IF(X$5="Actual",SUMIFS(tbl_model_feed_final[cash_collected_gbp],tbl_model_feed_final[reporting_month_date],X$4)/'02_Control'!$B$18,"")</f>
        <v>3929969.4799999981</v>
      </c>
      <c r="Y30" s="27">
        <f>IF(Y$5="Actual",SUMIFS(tbl_model_feed_final[cash_collected_gbp],tbl_model_feed_final[reporting_month_date],Y$4)/'02_Control'!$B$18,"")</f>
        <v>5101061.6299999971</v>
      </c>
      <c r="Z30" s="27">
        <f>IF(Z$5="Actual",SUMIFS(tbl_model_feed_final[cash_collected_gbp],tbl_model_feed_final[reporting_month_date],Z$4)/'02_Control'!$B$18,"")</f>
        <v>5529052.0900000008</v>
      </c>
      <c r="AA30" s="27">
        <f>IF(AA$5="Actual",SUMIFS(tbl_model_feed_final[cash_collected_gbp],tbl_model_feed_final[reporting_month_date],AA$4)/'02_Control'!$B$18,"")</f>
        <v>5119368.9099999927</v>
      </c>
      <c r="AB30" s="27">
        <f>IF(AB$5="Actual",SUMIFS(tbl_model_feed_final[cash_collected_gbp],tbl_model_feed_final[reporting_month_date],AB$4)/'02_Control'!$B$18,"")</f>
        <v>5263376.5699999994</v>
      </c>
      <c r="AC30" s="27">
        <f>IF(AC$5="Actual",SUMIFS(tbl_model_feed_final[cash_collected_gbp],tbl_model_feed_final[reporting_month_date],AC$4)/'02_Control'!$B$18,"")</f>
        <v>5052000.1999999927</v>
      </c>
      <c r="AD30" s="27">
        <f>IF(AD$5="Actual",SUMIFS(tbl_model_feed_final[cash_collected_gbp],tbl_model_feed_final[reporting_month_date],AD$4)/'02_Control'!$B$18,"")</f>
        <v>5485161.5000000028</v>
      </c>
      <c r="AE30" s="27">
        <f>IF(AE$5="Actual",SUMIFS(tbl_model_feed_final[cash_collected_gbp],tbl_model_feed_final[reporting_month_date],AE$4)/'02_Control'!$B$18,"")</f>
        <v>5508029.8399999989</v>
      </c>
      <c r="AF30" s="27">
        <f>IF(AF$5="Actual",SUMIFS(tbl_model_feed_final[cash_collected_gbp],tbl_model_feed_final[reporting_month_date],AF$4)/'02_Control'!$B$18,"")</f>
        <v>5258659.3199999994</v>
      </c>
      <c r="AG30" s="27">
        <f>IF(AG$5="Actual",SUMIFS(tbl_model_feed_final[cash_collected_gbp],tbl_model_feed_final[reporting_month_date],AG$4)/'02_Control'!$B$18,"")</f>
        <v>6245825.6599999983</v>
      </c>
      <c r="AH30" s="27">
        <f>IF(AH$5="Actual",SUMIFS(tbl_model_feed_final[cash_collected_gbp],tbl_model_feed_final[reporting_month_date],AH$4)/'02_Control'!$B$18,"")</f>
        <v>5179603.6499999966</v>
      </c>
      <c r="AI30" s="27">
        <f>IF(AI$5="Actual",SUMIFS(tbl_model_feed_final[cash_collected_gbp],tbl_model_feed_final[reporting_month_date],AI$4)/'02_Control'!$B$18,"")</f>
        <v>5036442.4399999976</v>
      </c>
      <c r="AJ30" s="27">
        <f>IF(AJ$5="Actual",SUMIFS(tbl_model_feed_final[cash_collected_gbp],tbl_model_feed_final[reporting_month_date],AJ$4)/'02_Control'!$B$18,"")</f>
        <v>4337243.0599999996</v>
      </c>
      <c r="AK30" s="27">
        <f>IF(AK$5="Actual",SUMIFS(tbl_model_feed_final[cash_collected_gbp],tbl_model_feed_final[reporting_month_date],AK$4)/'02_Control'!$B$18,"")</f>
        <v>5471059.5099999979</v>
      </c>
      <c r="AL30" s="27">
        <f>IF(AL$5="Actual",SUMIFS(tbl_model_feed_final[cash_collected_gbp],tbl_model_feed_final[reporting_month_date],AL$4)/'02_Control'!$B$18,"")</f>
        <v>5653312.2899999926</v>
      </c>
      <c r="AM30" s="27">
        <f>IF(AM$5="Actual",SUMIFS(tbl_model_feed_final[cash_collected_gbp],tbl_model_feed_final[reporting_month_date],AM$4)/'02_Control'!$B$18,"")</f>
        <v>5232322.9899999965</v>
      </c>
      <c r="AN30" s="27">
        <f>IF(AN$5="Actual",SUMIFS(tbl_model_feed_final[cash_collected_gbp],tbl_model_feed_final[reporting_month_date],AN$4)/'02_Control'!$B$18,"")</f>
        <v>4878939.1899999995</v>
      </c>
      <c r="AO30" s="27">
        <f>IF(AO$5="Actual",SUMIFS(tbl_model_feed_final[cash_collected_gbp],tbl_model_feed_final[reporting_month_date],AO$4)/'02_Control'!$B$18,"")</f>
        <v>4159533.7100000014</v>
      </c>
      <c r="AP30" s="27">
        <f>IF(AP$5="Actual",SUMIFS(tbl_model_feed_final[cash_collected_gbp],tbl_model_feed_final[reporting_month_date],AP$4)/'02_Control'!$B$18,"")</f>
        <v>2612086.1400000006</v>
      </c>
      <c r="AQ30" s="28">
        <f>IF(AQ$5="Actual",SUMIFS(tbl_model_feed_final[cash_collected_gbp],tbl_model_feed_final[reporting_month_date],AQ$4)/'02_Control'!$B$18,"")</f>
        <v>339676.06</v>
      </c>
      <c r="AR30" s="27">
        <f>IF(AR$5="Actual",SUMIFS(tbl_model_feed_final[cash_collected_gbp],tbl_model_feed_final[reporting_month_date],AR$4)/'02_Control'!$B$18,AR11*_xlfn.XLOOKUP("Cash Collection % of Billings",tbl_assumptions[Driver],tbl_assumptions[Selected Scenario]))</f>
        <v>4983248.1873888019</v>
      </c>
      <c r="AS30" s="27">
        <f>IF(AS$5="Actual",SUMIFS(tbl_model_feed_final[cash_collected_gbp],tbl_model_feed_final[reporting_month_date],AS$4)/'02_Control'!$B$18,AS11*_xlfn.XLOOKUP("Cash Collection % of Billings",tbl_assumptions[Driver],tbl_assumptions[Selected Scenario]))</f>
        <v>5023114.172887912</v>
      </c>
      <c r="AT30" s="27">
        <f>IF(AT$5="Actual",SUMIFS(tbl_model_feed_final[cash_collected_gbp],tbl_model_feed_final[reporting_month_date],AT$4)/'02_Control'!$B$18,AT11*_xlfn.XLOOKUP("Cash Collection % of Billings",tbl_assumptions[Driver],tbl_assumptions[Selected Scenario]))</f>
        <v>5063299.0862710159</v>
      </c>
      <c r="AU30" s="27">
        <f>IF(AU$5="Actual",SUMIFS(tbl_model_feed_final[cash_collected_gbp],tbl_model_feed_final[reporting_month_date],AU$4)/'02_Control'!$B$18,AU11*_xlfn.XLOOKUP("Cash Collection % of Billings",tbl_assumptions[Driver],tbl_assumptions[Selected Scenario]))</f>
        <v>5103805.4789611837</v>
      </c>
      <c r="AV30" s="27">
        <f>IF(AV$5="Actual",SUMIFS(tbl_model_feed_final[cash_collected_gbp],tbl_model_feed_final[reporting_month_date],AV$4)/'02_Control'!$B$18,AV11*_xlfn.XLOOKUP("Cash Collection % of Billings",tbl_assumptions[Driver],tbl_assumptions[Selected Scenario]))</f>
        <v>5144635.9227928733</v>
      </c>
      <c r="AW30" s="27">
        <f>IF(AW$5="Actual",SUMIFS(tbl_model_feed_final[cash_collected_gbp],tbl_model_feed_final[reporting_month_date],AW$4)/'02_Control'!$B$18,AW11*_xlfn.XLOOKUP("Cash Collection % of Billings",tbl_assumptions[Driver],tbl_assumptions[Selected Scenario]))</f>
        <v>5185793.0101752169</v>
      </c>
      <c r="AX30" s="27">
        <f>IF(AX$5="Actual",SUMIFS(tbl_model_feed_final[cash_collected_gbp],tbl_model_feed_final[reporting_month_date],AX$4)/'02_Control'!$B$18,AX11*_xlfn.XLOOKUP("Cash Collection % of Billings",tbl_assumptions[Driver],tbl_assumptions[Selected Scenario]))</f>
        <v>5227279.3542566188</v>
      </c>
      <c r="AY30" s="27">
        <f>IF(AY$5="Actual",SUMIFS(tbl_model_feed_final[cash_collected_gbp],tbl_model_feed_final[reporting_month_date],AY$4)/'02_Control'!$B$18,AY11*_xlfn.XLOOKUP("Cash Collection % of Billings",tbl_assumptions[Driver],tbl_assumptions[Selected Scenario]))</f>
        <v>5269097.5890906714</v>
      </c>
      <c r="AZ30" s="27">
        <f>IF(AZ$5="Actual",SUMIFS(tbl_model_feed_final[cash_collected_gbp],tbl_model_feed_final[reporting_month_date],AZ$4)/'02_Control'!$B$18,AZ11*_xlfn.XLOOKUP("Cash Collection % of Billings",tbl_assumptions[Driver],tbl_assumptions[Selected Scenario]))</f>
        <v>5311250.369803397</v>
      </c>
      <c r="BA30" s="27">
        <f>IF(BA$5="Actual",SUMIFS(tbl_model_feed_final[cash_collected_gbp],tbl_model_feed_final[reporting_month_date],BA$4)/'02_Control'!$B$18,BA11*_xlfn.XLOOKUP("Cash Collection % of Billings",tbl_assumptions[Driver],tbl_assumptions[Selected Scenario]))</f>
        <v>5353740.3727618242</v>
      </c>
      <c r="BB30" s="27">
        <f>IF(BB$5="Actual",SUMIFS(tbl_model_feed_final[cash_collected_gbp],tbl_model_feed_final[reporting_month_date],BB$4)/'02_Control'!$B$18,BB11*_xlfn.XLOOKUP("Cash Collection % of Billings",tbl_assumptions[Driver],tbl_assumptions[Selected Scenario]))</f>
        <v>5396570.295743919</v>
      </c>
      <c r="BC30" s="27">
        <f>IF(BC$5="Actual",SUMIFS(tbl_model_feed_final[cash_collected_gbp],tbl_model_feed_final[reporting_month_date],BC$4)/'02_Control'!$B$18,BC11*_xlfn.XLOOKUP("Cash Collection % of Billings",tbl_assumptions[Driver],tbl_assumptions[Selected Scenario]))</f>
        <v>5439742.85810987</v>
      </c>
      <c r="BD30" s="27">
        <f>IF(BD$5="Actual",SUMIFS(tbl_model_feed_final[cash_collected_gbp],tbl_model_feed_final[reporting_month_date],BD$4)/'02_Control'!$B$18,BD11*_xlfn.XLOOKUP("Cash Collection % of Billings",tbl_assumptions[Driver],tbl_assumptions[Selected Scenario]))</f>
        <v>5483260.800974749</v>
      </c>
      <c r="BE30" s="27">
        <f>IF(BE$5="Actual",SUMIFS(tbl_model_feed_final[cash_collected_gbp],tbl_model_feed_final[reporting_month_date],BE$4)/'02_Control'!$B$18,BE11*_xlfn.XLOOKUP("Cash Collection % of Billings",tbl_assumptions[Driver],tbl_assumptions[Selected Scenario]))</f>
        <v>5527126.8873825474</v>
      </c>
      <c r="BF30" s="27">
        <f>IF(BF$5="Actual",SUMIFS(tbl_model_feed_final[cash_collected_gbp],tbl_model_feed_final[reporting_month_date],BF$4)/'02_Control'!$B$18,BF11*_xlfn.XLOOKUP("Cash Collection % of Billings",tbl_assumptions[Driver],tbl_assumptions[Selected Scenario]))</f>
        <v>5571343.9024816081</v>
      </c>
      <c r="BG30" s="27">
        <f>IF(BG$5="Actual",SUMIFS(tbl_model_feed_final[cash_collected_gbp],tbl_model_feed_final[reporting_month_date],BG$4)/'02_Control'!$B$18,BG11*_xlfn.XLOOKUP("Cash Collection % of Billings",tbl_assumptions[Driver],tbl_assumptions[Selected Scenario]))</f>
        <v>5615914.6537014609</v>
      </c>
      <c r="BH30" s="27">
        <f>IF(BH$5="Actual",SUMIFS(tbl_model_feed_final[cash_collected_gbp],tbl_model_feed_final[reporting_month_date],BH$4)/'02_Control'!$B$18,BH11*_xlfn.XLOOKUP("Cash Collection % of Billings",tbl_assumptions[Driver],tbl_assumptions[Selected Scenario]))</f>
        <v>5660841.9709310727</v>
      </c>
      <c r="BI30" s="27">
        <f>IF(BI$5="Actual",SUMIFS(tbl_model_feed_final[cash_collected_gbp],tbl_model_feed_final[reporting_month_date],BI$4)/'02_Control'!$B$18,BI11*_xlfn.XLOOKUP("Cash Collection % of Billings",tbl_assumptions[Driver],tbl_assumptions[Selected Scenario]))</f>
        <v>5706128.706698521</v>
      </c>
      <c r="BJ30" s="27">
        <f>IF(BJ$5="Actual",SUMIFS(tbl_model_feed_final[cash_collected_gbp],tbl_model_feed_final[reporting_month_date],BJ$4)/'02_Control'!$B$18,BJ11*_xlfn.XLOOKUP("Cash Collection % of Billings",tbl_assumptions[Driver],tbl_assumptions[Selected Scenario]))</f>
        <v>5751777.7363521094</v>
      </c>
      <c r="BK30" s="27">
        <f>IF(BK$5="Actual",SUMIFS(tbl_model_feed_final[cash_collected_gbp],tbl_model_feed_final[reporting_month_date],BK$4)/'02_Control'!$B$18,BK11*_xlfn.XLOOKUP("Cash Collection % of Billings",tbl_assumptions[Driver],tbl_assumptions[Selected Scenario]))</f>
        <v>5797791.9582429267</v>
      </c>
      <c r="BL30" s="27">
        <f>IF(BL$5="Actual",SUMIFS(tbl_model_feed_final[cash_collected_gbp],tbl_model_feed_final[reporting_month_date],BL$4)/'02_Control'!$B$18,BL11*_xlfn.XLOOKUP("Cash Collection % of Billings",tbl_assumptions[Driver],tbl_assumptions[Selected Scenario]))</f>
        <v>5844174.2939088698</v>
      </c>
      <c r="BM30" s="27">
        <f>IF(BM$5="Actual",SUMIFS(tbl_model_feed_final[cash_collected_gbp],tbl_model_feed_final[reporting_month_date],BM$4)/'02_Control'!$B$18,BM11*_xlfn.XLOOKUP("Cash Collection % of Billings",tbl_assumptions[Driver],tbl_assumptions[Selected Scenario]))</f>
        <v>5890927.6882601408</v>
      </c>
      <c r="BN30" s="27">
        <f>IF(BN$5="Actual",SUMIFS(tbl_model_feed_final[cash_collected_gbp],tbl_model_feed_final[reporting_month_date],BN$4)/'02_Control'!$B$18,BN11*_xlfn.XLOOKUP("Cash Collection % of Billings",tbl_assumptions[Driver],tbl_assumptions[Selected Scenario]))</f>
        <v>5938055.1097662225</v>
      </c>
      <c r="BO30" s="27">
        <f>IF(BO$5="Actual",SUMIFS(tbl_model_feed_final[cash_collected_gbp],tbl_model_feed_final[reporting_month_date],BO$4)/'02_Control'!$B$18,BO11*_xlfn.XLOOKUP("Cash Collection % of Billings",tbl_assumptions[Driver],tbl_assumptions[Selected Scenario]))</f>
        <v>5985559.5506443521</v>
      </c>
      <c r="BP30" s="27">
        <f>IF(BP$5="Actual",SUMIFS(tbl_model_feed_final[cash_collected_gbp],tbl_model_feed_final[reporting_month_date],BP$4)/'02_Control'!$B$18,BP11*_xlfn.XLOOKUP("Cash Collection % of Billings",tbl_assumptions[Driver],tbl_assumptions[Selected Scenario]))</f>
        <v>6033444.027049507</v>
      </c>
      <c r="BQ30" s="27">
        <f>IF(BQ$5="Actual",SUMIFS(tbl_model_feed_final[cash_collected_gbp],tbl_model_feed_final[reporting_month_date],BQ$4)/'02_Control'!$B$18,BQ11*_xlfn.XLOOKUP("Cash Collection % of Billings",tbl_assumptions[Driver],tbl_assumptions[Selected Scenario]))</f>
        <v>6081711.5792659028</v>
      </c>
      <c r="BR30" s="27">
        <f>IF(BR$5="Actual",SUMIFS(tbl_model_feed_final[cash_collected_gbp],tbl_model_feed_final[reporting_month_date],BR$4)/'02_Control'!$B$18,BR11*_xlfn.XLOOKUP("Cash Collection % of Billings",tbl_assumptions[Driver],tbl_assumptions[Selected Scenario]))</f>
        <v>6130365.2719000308</v>
      </c>
      <c r="BS30" s="27">
        <f>IF(BS$5="Actual",SUMIFS(tbl_model_feed_final[cash_collected_gbp],tbl_model_feed_final[reporting_month_date],BS$4)/'02_Control'!$B$18,BS11*_xlfn.XLOOKUP("Cash Collection % of Billings",tbl_assumptions[Driver],tbl_assumptions[Selected Scenario]))</f>
        <v>6179408.1940752314</v>
      </c>
      <c r="BT30" s="27">
        <f>IF(BT$5="Actual",SUMIFS(tbl_model_feed_final[cash_collected_gbp],tbl_model_feed_final[reporting_month_date],BT$4)/'02_Control'!$B$18,BT11*_xlfn.XLOOKUP("Cash Collection % of Billings",tbl_assumptions[Driver],tbl_assumptions[Selected Scenario]))</f>
        <v>6228843.4596278332</v>
      </c>
      <c r="BU30" s="27">
        <f>IF(BU$5="Actual",SUMIFS(tbl_model_feed_final[cash_collected_gbp],tbl_model_feed_final[reporting_month_date],BU$4)/'02_Control'!$B$18,BU11*_xlfn.XLOOKUP("Cash Collection % of Billings",tbl_assumptions[Driver],tbl_assumptions[Selected Scenario]))</f>
        <v>6278674.2073048558</v>
      </c>
      <c r="BV30" s="27">
        <f>IF(BV$5="Actual",SUMIFS(tbl_model_feed_final[cash_collected_gbp],tbl_model_feed_final[reporting_month_date],BV$4)/'02_Control'!$B$18,BV11*_xlfn.XLOOKUP("Cash Collection % of Billings",tbl_assumptions[Driver],tbl_assumptions[Selected Scenario]))</f>
        <v>6328903.6009632945</v>
      </c>
      <c r="BW30" s="27">
        <f>IF(BW$5="Actual",SUMIFS(tbl_model_feed_final[cash_collected_gbp],tbl_model_feed_final[reporting_month_date],BW$4)/'02_Control'!$B$18,BW11*_xlfn.XLOOKUP("Cash Collection % of Billings",tbl_assumptions[Driver],tbl_assumptions[Selected Scenario]))</f>
        <v>6379534.8297710009</v>
      </c>
      <c r="BX30" s="27">
        <f>IF(BX$5="Actual",SUMIFS(tbl_model_feed_final[cash_collected_gbp],tbl_model_feed_final[reporting_month_date],BX$4)/'02_Control'!$B$18,BX11*_xlfn.XLOOKUP("Cash Collection % of Billings",tbl_assumptions[Driver],tbl_assumptions[Selected Scenario]))</f>
        <v>6430571.1084091691</v>
      </c>
      <c r="BY30" s="27">
        <f>IF(BY$5="Actual",SUMIFS(tbl_model_feed_final[cash_collected_gbp],tbl_model_feed_final[reporting_month_date],BY$4)/'02_Control'!$B$18,BY11*_xlfn.XLOOKUP("Cash Collection % of Billings",tbl_assumptions[Driver],tbl_assumptions[Selected Scenario]))</f>
        <v>6482015.6772764428</v>
      </c>
      <c r="BZ30" s="27">
        <f>IF(BZ$5="Actual",SUMIFS(tbl_model_feed_final[cash_collected_gbp],tbl_model_feed_final[reporting_month_date],BZ$4)/'02_Control'!$B$18,BZ11*_xlfn.XLOOKUP("Cash Collection % of Billings",tbl_assumptions[Driver],tbl_assumptions[Selected Scenario]))</f>
        <v>6533871.802694655</v>
      </c>
      <c r="CA30" s="27">
        <f>IF(CA$5="Actual",SUMIFS(tbl_model_feed_final[cash_collected_gbp],tbl_model_feed_final[reporting_month_date],CA$4)/'02_Control'!$B$18,CA11*_xlfn.XLOOKUP("Cash Collection % of Billings",tbl_assumptions[Driver],tbl_assumptions[Selected Scenario]))</f>
        <v>6586142.7771162121</v>
      </c>
      <c r="CB30" s="27">
        <f>IF(CB$5="Actual",SUMIFS(tbl_model_feed_final[cash_collected_gbp],tbl_model_feed_final[reporting_month_date],CB$4)/'02_Control'!$B$18,CB11*_xlfn.XLOOKUP("Cash Collection % of Billings",tbl_assumptions[Driver],tbl_assumptions[Selected Scenario]))</f>
        <v>6638831.9193331413</v>
      </c>
      <c r="CC30" s="27">
        <f>IF(CC$5="Actual",SUMIFS(tbl_model_feed_final[cash_collected_gbp],tbl_model_feed_final[reporting_month_date],CC$4)/'02_Control'!$B$18,CC11*_xlfn.XLOOKUP("Cash Collection % of Billings",tbl_assumptions[Driver],tbl_assumptions[Selected Scenario]))</f>
        <v>6691942.5746878069</v>
      </c>
      <c r="CD30" s="27">
        <f>IF(CD$5="Actual",SUMIFS(tbl_model_feed_final[cash_collected_gbp],tbl_model_feed_final[reporting_month_date],CD$4)/'02_Control'!$B$18,CD11*_xlfn.XLOOKUP("Cash Collection % of Billings",tbl_assumptions[Driver],tbl_assumptions[Selected Scenario]))</f>
        <v>6745478.115285309</v>
      </c>
      <c r="CE30" s="27">
        <f>IF(CE$5="Actual",SUMIFS(tbl_model_feed_final[cash_collected_gbp],tbl_model_feed_final[reporting_month_date],CE$4)/'02_Control'!$B$18,CE11*_xlfn.XLOOKUP("Cash Collection % of Billings",tbl_assumptions[Driver],tbl_assumptions[Selected Scenario]))</f>
        <v>6799441.9402075913</v>
      </c>
      <c r="CF30" s="27">
        <f>IF(CF$5="Actual",SUMIFS(tbl_model_feed_final[cash_collected_gbp],tbl_model_feed_final[reporting_month_date],CF$4)/'02_Control'!$B$18,CF11*_xlfn.XLOOKUP("Cash Collection % of Billings",tbl_assumptions[Driver],tbl_assumptions[Selected Scenario]))</f>
        <v>6853837.4757292522</v>
      </c>
      <c r="CG30" s="27">
        <f>IF(CG$5="Actual",SUMIFS(tbl_model_feed_final[cash_collected_gbp],tbl_model_feed_final[reporting_month_date],CG$4)/'02_Control'!$B$18,CG11*_xlfn.XLOOKUP("Cash Collection % of Billings",tbl_assumptions[Driver],tbl_assumptions[Selected Scenario]))</f>
        <v>6908668.1755350865</v>
      </c>
    </row>
    <row r="31" spans="1:85" x14ac:dyDescent="0.3">
      <c r="A31" s="26" t="s">
        <v>138</v>
      </c>
      <c r="B31" s="29">
        <f>IF(B$5="Actual",SUMIFS(tbl_model_feed_final[open_ar_exposure_gbp],tbl_model_feed_final[reporting_month_date],B$4)/'02_Control'!$B$18,"")</f>
        <v>1073080.8399999999</v>
      </c>
      <c r="C31" s="29">
        <f>IF(C$5="Actual",SUMIFS(tbl_model_feed_final[open_ar_exposure_gbp],tbl_model_feed_final[reporting_month_date],C$4)/'02_Control'!$B$18,"")</f>
        <v>584121.34999999974</v>
      </c>
      <c r="D31" s="29">
        <f>IF(D$5="Actual",SUMIFS(tbl_model_feed_final[open_ar_exposure_gbp],tbl_model_feed_final[reporting_month_date],D$4)/'02_Control'!$B$18,"")</f>
        <v>740587.58999999962</v>
      </c>
      <c r="E31" s="29">
        <f>IF(E$5="Actual",SUMIFS(tbl_model_feed_final[open_ar_exposure_gbp],tbl_model_feed_final[reporting_month_date],E$4)/'02_Control'!$B$18,"")</f>
        <v>720385.8</v>
      </c>
      <c r="F31" s="29">
        <f>IF(F$5="Actual",SUMIFS(tbl_model_feed_final[open_ar_exposure_gbp],tbl_model_feed_final[reporting_month_date],F$4)/'02_Control'!$B$18,"")</f>
        <v>848665.75</v>
      </c>
      <c r="G31" s="29">
        <f>IF(G$5="Actual",SUMIFS(tbl_model_feed_final[open_ar_exposure_gbp],tbl_model_feed_final[reporting_month_date],G$4)/'02_Control'!$B$18,"")</f>
        <v>917567.48999999964</v>
      </c>
      <c r="H31" s="29">
        <f>IF(H$5="Actual",SUMIFS(tbl_model_feed_final[open_ar_exposure_gbp],tbl_model_feed_final[reporting_month_date],H$4)/'02_Control'!$B$18,"")</f>
        <v>557672.58000000007</v>
      </c>
      <c r="I31" s="29">
        <f>IF(I$5="Actual",SUMIFS(tbl_model_feed_final[open_ar_exposure_gbp],tbl_model_feed_final[reporting_month_date],I$4)/'02_Control'!$B$18,"")</f>
        <v>648072.02000000048</v>
      </c>
      <c r="J31" s="29">
        <f>IF(J$5="Actual",SUMIFS(tbl_model_feed_final[open_ar_exposure_gbp],tbl_model_feed_final[reporting_month_date],J$4)/'02_Control'!$B$18,"")</f>
        <v>822694.70000000019</v>
      </c>
      <c r="K31" s="29">
        <f>IF(K$5="Actual",SUMIFS(tbl_model_feed_final[open_ar_exposure_gbp],tbl_model_feed_final[reporting_month_date],K$4)/'02_Control'!$B$18,"")</f>
        <v>644302.7200000002</v>
      </c>
      <c r="L31" s="29">
        <f>IF(L$5="Actual",SUMIFS(tbl_model_feed_final[open_ar_exposure_gbp],tbl_model_feed_final[reporting_month_date],L$4)/'02_Control'!$B$18,"")</f>
        <v>620715.9</v>
      </c>
      <c r="M31" s="29">
        <f>IF(M$5="Actual",SUMIFS(tbl_model_feed_final[open_ar_exposure_gbp],tbl_model_feed_final[reporting_month_date],M$4)/'02_Control'!$B$18,"")</f>
        <v>933546.36999999965</v>
      </c>
      <c r="N31" s="29">
        <f>IF(N$5="Actual",SUMIFS(tbl_model_feed_final[open_ar_exposure_gbp],tbl_model_feed_final[reporting_month_date],N$4)/'02_Control'!$B$18,"")</f>
        <v>837677.15999999992</v>
      </c>
      <c r="O31" s="29">
        <f>IF(O$5="Actual",SUMIFS(tbl_model_feed_final[open_ar_exposure_gbp],tbl_model_feed_final[reporting_month_date],O$4)/'02_Control'!$B$18,"")</f>
        <v>1437854.6600000001</v>
      </c>
      <c r="P31" s="29">
        <f>IF(P$5="Actual",SUMIFS(tbl_model_feed_final[open_ar_exposure_gbp],tbl_model_feed_final[reporting_month_date],P$4)/'02_Control'!$B$18,"")</f>
        <v>886877.11999999965</v>
      </c>
      <c r="Q31" s="29">
        <f>IF(Q$5="Actual",SUMIFS(tbl_model_feed_final[open_ar_exposure_gbp],tbl_model_feed_final[reporting_month_date],Q$4)/'02_Control'!$B$18,"")</f>
        <v>1320568.1999999988</v>
      </c>
      <c r="R31" s="29">
        <f>IF(R$5="Actual",SUMIFS(tbl_model_feed_final[open_ar_exposure_gbp],tbl_model_feed_final[reporting_month_date],R$4)/'02_Control'!$B$18,"")</f>
        <v>698202.76</v>
      </c>
      <c r="S31" s="29">
        <f>IF(S$5="Actual",SUMIFS(tbl_model_feed_final[open_ar_exposure_gbp],tbl_model_feed_final[reporting_month_date],S$4)/'02_Control'!$B$18,"")</f>
        <v>1205625.3699999999</v>
      </c>
      <c r="T31" s="29">
        <f>IF(T$5="Actual",SUMIFS(tbl_model_feed_final[open_ar_exposure_gbp],tbl_model_feed_final[reporting_month_date],T$4)/'02_Control'!$B$18,"")</f>
        <v>971534.29000000074</v>
      </c>
      <c r="U31" s="29">
        <f>IF(U$5="Actual",SUMIFS(tbl_model_feed_final[open_ar_exposure_gbp],tbl_model_feed_final[reporting_month_date],U$4)/'02_Control'!$B$18,"")</f>
        <v>950379.83</v>
      </c>
      <c r="V31" s="29">
        <f>IF(V$5="Actual",SUMIFS(tbl_model_feed_final[open_ar_exposure_gbp],tbl_model_feed_final[reporting_month_date],V$4)/'02_Control'!$B$18,"")</f>
        <v>995200.12000000034</v>
      </c>
      <c r="W31" s="29">
        <f>IF(W$5="Actual",SUMIFS(tbl_model_feed_final[open_ar_exposure_gbp],tbl_model_feed_final[reporting_month_date],W$4)/'02_Control'!$B$18,"")</f>
        <v>1146166.7900000005</v>
      </c>
      <c r="X31" s="29">
        <f>IF(X$5="Actual",SUMIFS(tbl_model_feed_final[open_ar_exposure_gbp],tbl_model_feed_final[reporting_month_date],X$4)/'02_Control'!$B$18,"")</f>
        <v>832101.14000000013</v>
      </c>
      <c r="Y31" s="29">
        <f>IF(Y$5="Actual",SUMIFS(tbl_model_feed_final[open_ar_exposure_gbp],tbl_model_feed_final[reporting_month_date],Y$4)/'02_Control'!$B$18,"")</f>
        <v>925259.56000000017</v>
      </c>
      <c r="Z31" s="29">
        <f>IF(Z$5="Actual",SUMIFS(tbl_model_feed_final[open_ar_exposure_gbp],tbl_model_feed_final[reporting_month_date],Z$4)/'02_Control'!$B$18,"")</f>
        <v>1322677.7099999993</v>
      </c>
      <c r="AA31" s="29">
        <f>IF(AA$5="Actual",SUMIFS(tbl_model_feed_final[open_ar_exposure_gbp],tbl_model_feed_final[reporting_month_date],AA$4)/'02_Control'!$B$18,"")</f>
        <v>1073375.5000000002</v>
      </c>
      <c r="AB31" s="29">
        <f>IF(AB$5="Actual",SUMIFS(tbl_model_feed_final[open_ar_exposure_gbp],tbl_model_feed_final[reporting_month_date],AB$4)/'02_Control'!$B$18,"")</f>
        <v>934013.59999999986</v>
      </c>
      <c r="AC31" s="29">
        <f>IF(AC$5="Actual",SUMIFS(tbl_model_feed_final[open_ar_exposure_gbp],tbl_model_feed_final[reporting_month_date],AC$4)/'02_Control'!$B$18,"")</f>
        <v>1167503.139999999</v>
      </c>
      <c r="AD31" s="29">
        <f>IF(AD$5="Actual",SUMIFS(tbl_model_feed_final[open_ar_exposure_gbp],tbl_model_feed_final[reporting_month_date],AD$4)/'02_Control'!$B$18,"")</f>
        <v>1155181.1300000006</v>
      </c>
      <c r="AE31" s="29">
        <f>IF(AE$5="Actual",SUMIFS(tbl_model_feed_final[open_ar_exposure_gbp],tbl_model_feed_final[reporting_month_date],AE$4)/'02_Control'!$B$18,"")</f>
        <v>1024357.94</v>
      </c>
      <c r="AF31" s="29">
        <f>IF(AF$5="Actual",SUMIFS(tbl_model_feed_final[open_ar_exposure_gbp],tbl_model_feed_final[reporting_month_date],AF$4)/'02_Control'!$B$18,"")</f>
        <v>1394048.8000000005</v>
      </c>
      <c r="AG31" s="29">
        <f>IF(AG$5="Actual",SUMIFS(tbl_model_feed_final[open_ar_exposure_gbp],tbl_model_feed_final[reporting_month_date],AG$4)/'02_Control'!$B$18,"")</f>
        <v>1217837.2700000007</v>
      </c>
      <c r="AH31" s="29">
        <f>IF(AH$5="Actual",SUMIFS(tbl_model_feed_final[open_ar_exposure_gbp],tbl_model_feed_final[reporting_month_date],AH$4)/'02_Control'!$B$18,"")</f>
        <v>1138079.6700000002</v>
      </c>
      <c r="AI31" s="29">
        <f>IF(AI$5="Actual",SUMIFS(tbl_model_feed_final[open_ar_exposure_gbp],tbl_model_feed_final[reporting_month_date],AI$4)/'02_Control'!$B$18,"")</f>
        <v>1612570.3900000006</v>
      </c>
      <c r="AJ31" s="29">
        <f>IF(AJ$5="Actual",SUMIFS(tbl_model_feed_final[open_ar_exposure_gbp],tbl_model_feed_final[reporting_month_date],AJ$4)/'02_Control'!$B$18,"")</f>
        <v>961450.54000000015</v>
      </c>
      <c r="AK31" s="29">
        <f>IF(AK$5="Actual",SUMIFS(tbl_model_feed_final[open_ar_exposure_gbp],tbl_model_feed_final[reporting_month_date],AK$4)/'02_Control'!$B$18,"")</f>
        <v>1086816.2700000005</v>
      </c>
      <c r="AL31" s="29">
        <f>IF(AL$5="Actual",SUMIFS(tbl_model_feed_final[open_ar_exposure_gbp],tbl_model_feed_final[reporting_month_date],AL$4)/'02_Control'!$B$18,"")</f>
        <v>1487011.8400000001</v>
      </c>
      <c r="AM31" s="29">
        <f>IF(AM$5="Actual",SUMIFS(tbl_model_feed_final[open_ar_exposure_gbp],tbl_model_feed_final[reporting_month_date],AM$4)/'02_Control'!$B$18,"")</f>
        <v>1164321.5199999996</v>
      </c>
      <c r="AN31" s="29">
        <f>IF(AN$5="Actual",SUMIFS(tbl_model_feed_final[open_ar_exposure_gbp],tbl_model_feed_final[reporting_month_date],AN$4)/'02_Control'!$B$18,"")</f>
        <v>1519994.6299999997</v>
      </c>
      <c r="AO31" s="29">
        <f>IF(AO$5="Actual",SUMIFS(tbl_model_feed_final[open_ar_exposure_gbp],tbl_model_feed_final[reporting_month_date],AO$4)/'02_Control'!$B$18,"")</f>
        <v>2199257.9699999993</v>
      </c>
      <c r="AP31" s="29">
        <f>IF(AP$5="Actual",SUMIFS(tbl_model_feed_final[open_ar_exposure_gbp],tbl_model_feed_final[reporting_month_date],AP$4)/'02_Control'!$B$18,"")</f>
        <v>3903899.9999999981</v>
      </c>
      <c r="AQ31" s="30">
        <f>IF(AQ$5="Actual",SUMIFS(tbl_model_feed_final[open_ar_exposure_gbp],tbl_model_feed_final[reporting_month_date],AQ$4)/'02_Control'!$B$18,"")</f>
        <v>6393361.0199999949</v>
      </c>
      <c r="AR31" s="29">
        <f>IF(AR$5="Actual",SUMIFS(tbl_model_feed_final[open_ar_exposure_gbp],tbl_model_feed_final[reporting_month_date],AR$4)/'02_Control'!$B$18,AR11*_xlfn.XLOOKUP("Open AR % of Billings",tbl_assumptions[Driver],tbl_assumptions[Selected Scenario]))</f>
        <v>911569.79037600034</v>
      </c>
      <c r="AS31" s="29">
        <f>IF(AS$5="Actual",SUMIFS(tbl_model_feed_final[open_ar_exposure_gbp],tbl_model_feed_final[reporting_month_date],AS$4)/'02_Control'!$B$18,AS11*_xlfn.XLOOKUP("Open AR % of Billings",tbl_assumptions[Driver],tbl_assumptions[Selected Scenario]))</f>
        <v>918862.34869900835</v>
      </c>
      <c r="AT31" s="29">
        <f>IF(AT$5="Actual",SUMIFS(tbl_model_feed_final[open_ar_exposure_gbp],tbl_model_feed_final[reporting_month_date],AT$4)/'02_Control'!$B$18,AT11*_xlfn.XLOOKUP("Open AR % of Billings",tbl_assumptions[Driver],tbl_assumptions[Selected Scenario]))</f>
        <v>926213.24748860043</v>
      </c>
      <c r="AU31" s="29">
        <f>IF(AU$5="Actual",SUMIFS(tbl_model_feed_final[open_ar_exposure_gbp],tbl_model_feed_final[reporting_month_date],AU$4)/'02_Control'!$B$18,AU11*_xlfn.XLOOKUP("Open AR % of Billings",tbl_assumptions[Driver],tbl_assumptions[Selected Scenario]))</f>
        <v>933622.95346850937</v>
      </c>
      <c r="AV31" s="29">
        <f>IF(AV$5="Actual",SUMIFS(tbl_model_feed_final[open_ar_exposure_gbp],tbl_model_feed_final[reporting_month_date],AV$4)/'02_Control'!$B$18,AV11*_xlfn.XLOOKUP("Open AR % of Billings",tbl_assumptions[Driver],tbl_assumptions[Selected Scenario]))</f>
        <v>941091.93709625734</v>
      </c>
      <c r="AW31" s="29">
        <f>IF(AW$5="Actual",SUMIFS(tbl_model_feed_final[open_ar_exposure_gbp],tbl_model_feed_final[reporting_month_date],AW$4)/'02_Control'!$B$18,AW11*_xlfn.XLOOKUP("Open AR % of Billings",tbl_assumptions[Driver],tbl_assumptions[Selected Scenario]))</f>
        <v>948620.67259302747</v>
      </c>
      <c r="AX31" s="29">
        <f>IF(AX$5="Actual",SUMIFS(tbl_model_feed_final[open_ar_exposure_gbp],tbl_model_feed_final[reporting_month_date],AX$4)/'02_Control'!$B$18,AX11*_xlfn.XLOOKUP("Open AR % of Billings",tbl_assumptions[Driver],tbl_assumptions[Selected Scenario]))</f>
        <v>956209.63797377166</v>
      </c>
      <c r="AY31" s="29">
        <f>IF(AY$5="Actual",SUMIFS(tbl_model_feed_final[open_ar_exposure_gbp],tbl_model_feed_final[reporting_month_date],AY$4)/'02_Control'!$B$18,AY11*_xlfn.XLOOKUP("Open AR % of Billings",tbl_assumptions[Driver],tbl_assumptions[Selected Scenario]))</f>
        <v>963859.31507756189</v>
      </c>
      <c r="AZ31" s="29">
        <f>IF(AZ$5="Actual",SUMIFS(tbl_model_feed_final[open_ar_exposure_gbp],tbl_model_feed_final[reporting_month_date],AZ$4)/'02_Control'!$B$18,AZ11*_xlfn.XLOOKUP("Open AR % of Billings",tbl_assumptions[Driver],tbl_assumptions[Selected Scenario]))</f>
        <v>971570.18959818233</v>
      </c>
      <c r="BA31" s="29">
        <f>IF(BA$5="Actual",SUMIFS(tbl_model_feed_final[open_ar_exposure_gbp],tbl_model_feed_final[reporting_month_date],BA$4)/'02_Control'!$B$18,BA11*_xlfn.XLOOKUP("Open AR % of Billings",tbl_assumptions[Driver],tbl_assumptions[Selected Scenario]))</f>
        <v>979342.75111496786</v>
      </c>
      <c r="BB31" s="29">
        <f>IF(BB$5="Actual",SUMIFS(tbl_model_feed_final[open_ar_exposure_gbp],tbl_model_feed_final[reporting_month_date],BB$4)/'02_Control'!$B$18,BB11*_xlfn.XLOOKUP("Open AR % of Billings",tbl_assumptions[Driver],tbl_assumptions[Selected Scenario]))</f>
        <v>987177.49312388757</v>
      </c>
      <c r="BC31" s="29">
        <f>IF(BC$5="Actual",SUMIFS(tbl_model_feed_final[open_ar_exposure_gbp],tbl_model_feed_final[reporting_month_date],BC$4)/'02_Control'!$B$18,BC11*_xlfn.XLOOKUP("Open AR % of Billings",tbl_assumptions[Driver],tbl_assumptions[Selected Scenario]))</f>
        <v>995074.9130688787</v>
      </c>
      <c r="BD31" s="29">
        <f>IF(BD$5="Actual",SUMIFS(tbl_model_feed_final[open_ar_exposure_gbp],tbl_model_feed_final[reporting_month_date],BD$4)/'02_Control'!$B$18,BD11*_xlfn.XLOOKUP("Open AR % of Billings",tbl_assumptions[Driver],tbl_assumptions[Selected Scenario]))</f>
        <v>1003035.5123734297</v>
      </c>
      <c r="BE31" s="29">
        <f>IF(BE$5="Actual",SUMIFS(tbl_model_feed_final[open_ar_exposure_gbp],tbl_model_feed_final[reporting_month_date],BE$4)/'02_Control'!$B$18,BE11*_xlfn.XLOOKUP("Open AR % of Billings",tbl_assumptions[Driver],tbl_assumptions[Selected Scenario]))</f>
        <v>1011059.7964724172</v>
      </c>
      <c r="BF31" s="29">
        <f>IF(BF$5="Actual",SUMIFS(tbl_model_feed_final[open_ar_exposure_gbp],tbl_model_feed_final[reporting_month_date],BF$4)/'02_Control'!$B$18,BF11*_xlfn.XLOOKUP("Open AR % of Billings",tbl_assumptions[Driver],tbl_assumptions[Selected Scenario]))</f>
        <v>1019148.2748441965</v>
      </c>
      <c r="BG31" s="29">
        <f>IF(BG$5="Actual",SUMIFS(tbl_model_feed_final[open_ar_exposure_gbp],tbl_model_feed_final[reporting_month_date],BG$4)/'02_Control'!$B$18,BG11*_xlfn.XLOOKUP("Open AR % of Billings",tbl_assumptions[Driver],tbl_assumptions[Selected Scenario]))</f>
        <v>1027301.4610429502</v>
      </c>
      <c r="BH31" s="29">
        <f>IF(BH$5="Actual",SUMIFS(tbl_model_feed_final[open_ar_exposure_gbp],tbl_model_feed_final[reporting_month_date],BH$4)/'02_Control'!$B$18,BH11*_xlfn.XLOOKUP("Open AR % of Billings",tbl_assumptions[Driver],tbl_assumptions[Selected Scenario]))</f>
        <v>1035519.8727312938</v>
      </c>
      <c r="BI31" s="29">
        <f>IF(BI$5="Actual",SUMIFS(tbl_model_feed_final[open_ar_exposure_gbp],tbl_model_feed_final[reporting_month_date],BI$4)/'02_Control'!$B$18,BI11*_xlfn.XLOOKUP("Open AR % of Billings",tbl_assumptions[Driver],tbl_assumptions[Selected Scenario]))</f>
        <v>1043804.0317131442</v>
      </c>
      <c r="BJ31" s="29">
        <f>IF(BJ$5="Actual",SUMIFS(tbl_model_feed_final[open_ar_exposure_gbp],tbl_model_feed_final[reporting_month_date],BJ$4)/'02_Control'!$B$18,BJ11*_xlfn.XLOOKUP("Open AR % of Billings",tbl_assumptions[Driver],tbl_assumptions[Selected Scenario]))</f>
        <v>1052154.4639668493</v>
      </c>
      <c r="BK31" s="29">
        <f>IF(BK$5="Actual",SUMIFS(tbl_model_feed_final[open_ar_exposure_gbp],tbl_model_feed_final[reporting_month_date],BK$4)/'02_Control'!$B$18,BK11*_xlfn.XLOOKUP("Open AR % of Billings",tbl_assumptions[Driver],tbl_assumptions[Selected Scenario]))</f>
        <v>1060571.6996785842</v>
      </c>
      <c r="BL31" s="29">
        <f>IF(BL$5="Actual",SUMIFS(tbl_model_feed_final[open_ar_exposure_gbp],tbl_model_feed_final[reporting_month_date],BL$4)/'02_Control'!$B$18,BL11*_xlfn.XLOOKUP("Open AR % of Billings",tbl_assumptions[Driver],tbl_assumptions[Selected Scenario]))</f>
        <v>1069056.2732760129</v>
      </c>
      <c r="BM31" s="29">
        <f>IF(BM$5="Actual",SUMIFS(tbl_model_feed_final[open_ar_exposure_gbp],tbl_model_feed_final[reporting_month_date],BM$4)/'02_Control'!$B$18,BM11*_xlfn.XLOOKUP("Open AR % of Billings",tbl_assumptions[Driver],tbl_assumptions[Selected Scenario]))</f>
        <v>1077608.723462221</v>
      </c>
      <c r="BN31" s="29">
        <f>IF(BN$5="Actual",SUMIFS(tbl_model_feed_final[open_ar_exposure_gbp],tbl_model_feed_final[reporting_month_date],BN$4)/'02_Control'!$B$18,BN11*_xlfn.XLOOKUP("Open AR % of Billings",tbl_assumptions[Driver],tbl_assumptions[Selected Scenario]))</f>
        <v>1086229.5932499187</v>
      </c>
      <c r="BO31" s="29">
        <f>IF(BO$5="Actual",SUMIFS(tbl_model_feed_final[open_ar_exposure_gbp],tbl_model_feed_final[reporting_month_date],BO$4)/'02_Control'!$B$18,BO11*_xlfn.XLOOKUP("Open AR % of Billings",tbl_assumptions[Driver],tbl_assumptions[Selected Scenario]))</f>
        <v>1094919.4299959179</v>
      </c>
      <c r="BP31" s="29">
        <f>IF(BP$5="Actual",SUMIFS(tbl_model_feed_final[open_ar_exposure_gbp],tbl_model_feed_final[reporting_month_date],BP$4)/'02_Control'!$B$18,BP11*_xlfn.XLOOKUP("Open AR % of Billings",tbl_assumptions[Driver],tbl_assumptions[Selected Scenario]))</f>
        <v>1103678.7854358854</v>
      </c>
      <c r="BQ31" s="29">
        <f>IF(BQ$5="Actual",SUMIFS(tbl_model_feed_final[open_ar_exposure_gbp],tbl_model_feed_final[reporting_month_date],BQ$4)/'02_Control'!$B$18,BQ11*_xlfn.XLOOKUP("Open AR % of Billings",tbl_assumptions[Driver],tbl_assumptions[Selected Scenario]))</f>
        <v>1112508.2157193725</v>
      </c>
      <c r="BR31" s="29">
        <f>IF(BR$5="Actual",SUMIFS(tbl_model_feed_final[open_ar_exposure_gbp],tbl_model_feed_final[reporting_month_date],BR$4)/'02_Control'!$B$18,BR11*_xlfn.XLOOKUP("Open AR % of Billings",tbl_assumptions[Driver],tbl_assumptions[Selected Scenario]))</f>
        <v>1121408.2814451274</v>
      </c>
      <c r="BS31" s="29">
        <f>IF(BS$5="Actual",SUMIFS(tbl_model_feed_final[open_ar_exposure_gbp],tbl_model_feed_final[reporting_month_date],BS$4)/'02_Control'!$B$18,BS11*_xlfn.XLOOKUP("Open AR % of Billings",tbl_assumptions[Driver],tbl_assumptions[Selected Scenario]))</f>
        <v>1130379.5476966887</v>
      </c>
      <c r="BT31" s="29">
        <f>IF(BT$5="Actual",SUMIFS(tbl_model_feed_final[open_ar_exposure_gbp],tbl_model_feed_final[reporting_month_date],BT$4)/'02_Control'!$B$18,BT11*_xlfn.XLOOKUP("Open AR % of Billings",tbl_assumptions[Driver],tbl_assumptions[Selected Scenario]))</f>
        <v>1139422.5840782621</v>
      </c>
      <c r="BU31" s="29">
        <f>IF(BU$5="Actual",SUMIFS(tbl_model_feed_final[open_ar_exposure_gbp],tbl_model_feed_final[reporting_month_date],BU$4)/'02_Control'!$B$18,BU11*_xlfn.XLOOKUP("Open AR % of Billings",tbl_assumptions[Driver],tbl_assumptions[Selected Scenario]))</f>
        <v>1148537.9647508883</v>
      </c>
      <c r="BV31" s="29">
        <f>IF(BV$5="Actual",SUMIFS(tbl_model_feed_final[open_ar_exposure_gbp],tbl_model_feed_final[reporting_month_date],BV$4)/'02_Control'!$B$18,BV11*_xlfn.XLOOKUP("Open AR % of Billings",tbl_assumptions[Driver],tbl_assumptions[Selected Scenario]))</f>
        <v>1157726.2684688955</v>
      </c>
      <c r="BW31" s="29">
        <f>IF(BW$5="Actual",SUMIFS(tbl_model_feed_final[open_ar_exposure_gbp],tbl_model_feed_final[reporting_month_date],BW$4)/'02_Control'!$B$18,BW11*_xlfn.XLOOKUP("Open AR % of Billings",tbl_assumptions[Driver],tbl_assumptions[Selected Scenario]))</f>
        <v>1166988.0786166466</v>
      </c>
      <c r="BX31" s="29">
        <f>IF(BX$5="Actual",SUMIFS(tbl_model_feed_final[open_ar_exposure_gbp],tbl_model_feed_final[reporting_month_date],BX$4)/'02_Control'!$B$18,BX11*_xlfn.XLOOKUP("Open AR % of Billings",tbl_assumptions[Driver],tbl_assumptions[Selected Scenario]))</f>
        <v>1176323.9832455798</v>
      </c>
      <c r="BY31" s="29">
        <f>IF(BY$5="Actual",SUMIFS(tbl_model_feed_final[open_ar_exposure_gbp],tbl_model_feed_final[reporting_month_date],BY$4)/'02_Control'!$B$18,BY11*_xlfn.XLOOKUP("Open AR % of Billings",tbl_assumptions[Driver],tbl_assumptions[Selected Scenario]))</f>
        <v>1185734.5751115445</v>
      </c>
      <c r="BZ31" s="29">
        <f>IF(BZ$5="Actual",SUMIFS(tbl_model_feed_final[open_ar_exposure_gbp],tbl_model_feed_final[reporting_month_date],BZ$4)/'02_Control'!$B$18,BZ11*_xlfn.XLOOKUP("Open AR % of Billings",tbl_assumptions[Driver],tbl_assumptions[Selected Scenario]))</f>
        <v>1195220.4517124367</v>
      </c>
      <c r="CA31" s="29">
        <f>IF(CA$5="Actual",SUMIFS(tbl_model_feed_final[open_ar_exposure_gbp],tbl_model_feed_final[reporting_month_date],CA$4)/'02_Control'!$B$18,CA11*_xlfn.XLOOKUP("Open AR % of Billings",tbl_assumptions[Driver],tbl_assumptions[Selected Scenario]))</f>
        <v>1204782.2153261364</v>
      </c>
      <c r="CB31" s="29">
        <f>IF(CB$5="Actual",SUMIFS(tbl_model_feed_final[open_ar_exposure_gbp],tbl_model_feed_final[reporting_month_date],CB$4)/'02_Control'!$B$18,CB11*_xlfn.XLOOKUP("Open AR % of Billings",tbl_assumptions[Driver],tbl_assumptions[Selected Scenario]))</f>
        <v>1214420.4730487454</v>
      </c>
      <c r="CC31" s="29">
        <f>IF(CC$5="Actual",SUMIFS(tbl_model_feed_final[open_ar_exposure_gbp],tbl_model_feed_final[reporting_month_date],CC$4)/'02_Control'!$B$18,CC11*_xlfn.XLOOKUP("Open AR % of Billings",tbl_assumptions[Driver],tbl_assumptions[Selected Scenario]))</f>
        <v>1224135.8368331355</v>
      </c>
      <c r="CD31" s="29">
        <f>IF(CD$5="Actual",SUMIFS(tbl_model_feed_final[open_ar_exposure_gbp],tbl_model_feed_final[reporting_month_date],CD$4)/'02_Control'!$B$18,CD11*_xlfn.XLOOKUP("Open AR % of Billings",tbl_assumptions[Driver],tbl_assumptions[Selected Scenario]))</f>
        <v>1233928.9235278005</v>
      </c>
      <c r="CE31" s="29">
        <f>IF(CE$5="Actual",SUMIFS(tbl_model_feed_final[open_ar_exposure_gbp],tbl_model_feed_final[reporting_month_date],CE$4)/'02_Control'!$B$18,CE11*_xlfn.XLOOKUP("Open AR % of Billings",tbl_assumptions[Driver],tbl_assumptions[Selected Scenario]))</f>
        <v>1243800.3549160229</v>
      </c>
      <c r="CF31" s="29">
        <f>IF(CF$5="Actual",SUMIFS(tbl_model_feed_final[open_ar_exposure_gbp],tbl_model_feed_final[reporting_month_date],CF$4)/'02_Control'!$B$18,CF11*_xlfn.XLOOKUP("Open AR % of Billings",tbl_assumptions[Driver],tbl_assumptions[Selected Scenario]))</f>
        <v>1253750.757755351</v>
      </c>
      <c r="CG31" s="29">
        <f>IF(CG$5="Actual",SUMIFS(tbl_model_feed_final[open_ar_exposure_gbp],tbl_model_feed_final[reporting_month_date],CG$4)/'02_Control'!$B$18,CG11*_xlfn.XLOOKUP("Open AR % of Billings",tbl_assumptions[Driver],tbl_assumptions[Selected Scenario]))</f>
        <v>1263780.7638173939</v>
      </c>
    </row>
    <row r="32" spans="1:85" x14ac:dyDescent="0.3">
      <c r="A32" s="26" t="s">
        <v>139</v>
      </c>
      <c r="B32" s="27">
        <f>IF(B$5="Actual",SUMIFS(tbl_model_feed_final[open_ap_liability_gbp],tbl_model_feed_final[reporting_month_date],B$4)/'02_Control'!$B$18,"")</f>
        <v>0</v>
      </c>
      <c r="C32" s="27">
        <f>IF(C$5="Actual",SUMIFS(tbl_model_feed_final[open_ap_liability_gbp],tbl_model_feed_final[reporting_month_date],C$4)/'02_Control'!$B$18,"")</f>
        <v>0</v>
      </c>
      <c r="D32" s="27">
        <f>IF(D$5="Actual",SUMIFS(tbl_model_feed_final[open_ap_liability_gbp],tbl_model_feed_final[reporting_month_date],D$4)/'02_Control'!$B$18,"")</f>
        <v>0</v>
      </c>
      <c r="E32" s="27">
        <f>IF(E$5="Actual",SUMIFS(tbl_model_feed_final[open_ap_liability_gbp],tbl_model_feed_final[reporting_month_date],E$4)/'02_Control'!$B$18,"")</f>
        <v>0</v>
      </c>
      <c r="F32" s="27">
        <f>IF(F$5="Actual",SUMIFS(tbl_model_feed_final[open_ap_liability_gbp],tbl_model_feed_final[reporting_month_date],F$4)/'02_Control'!$B$18,"")</f>
        <v>0</v>
      </c>
      <c r="G32" s="27">
        <f>IF(G$5="Actual",SUMIFS(tbl_model_feed_final[open_ap_liability_gbp],tbl_model_feed_final[reporting_month_date],G$4)/'02_Control'!$B$18,"")</f>
        <v>0</v>
      </c>
      <c r="H32" s="27">
        <f>IF(H$5="Actual",SUMIFS(tbl_model_feed_final[open_ap_liability_gbp],tbl_model_feed_final[reporting_month_date],H$4)/'02_Control'!$B$18,"")</f>
        <v>0</v>
      </c>
      <c r="I32" s="27">
        <f>IF(I$5="Actual",SUMIFS(tbl_model_feed_final[open_ap_liability_gbp],tbl_model_feed_final[reporting_month_date],I$4)/'02_Control'!$B$18,"")</f>
        <v>0</v>
      </c>
      <c r="J32" s="27">
        <f>IF(J$5="Actual",SUMIFS(tbl_model_feed_final[open_ap_liability_gbp],tbl_model_feed_final[reporting_month_date],J$4)/'02_Control'!$B$18,"")</f>
        <v>0</v>
      </c>
      <c r="K32" s="27">
        <f>IF(K$5="Actual",SUMIFS(tbl_model_feed_final[open_ap_liability_gbp],tbl_model_feed_final[reporting_month_date],K$4)/'02_Control'!$B$18,"")</f>
        <v>0</v>
      </c>
      <c r="L32" s="27">
        <f>IF(L$5="Actual",SUMIFS(tbl_model_feed_final[open_ap_liability_gbp],tbl_model_feed_final[reporting_month_date],L$4)/'02_Control'!$B$18,"")</f>
        <v>0</v>
      </c>
      <c r="M32" s="27">
        <f>IF(M$5="Actual",SUMIFS(tbl_model_feed_final[open_ap_liability_gbp],tbl_model_feed_final[reporting_month_date],M$4)/'02_Control'!$B$18,"")</f>
        <v>0</v>
      </c>
      <c r="N32" s="27">
        <f>IF(N$5="Actual",SUMIFS(tbl_model_feed_final[open_ap_liability_gbp],tbl_model_feed_final[reporting_month_date],N$4)/'02_Control'!$B$18,"")</f>
        <v>0</v>
      </c>
      <c r="O32" s="27">
        <f>IF(O$5="Actual",SUMIFS(tbl_model_feed_final[open_ap_liability_gbp],tbl_model_feed_final[reporting_month_date],O$4)/'02_Control'!$B$18,"")</f>
        <v>0</v>
      </c>
      <c r="P32" s="27">
        <f>IF(P$5="Actual",SUMIFS(tbl_model_feed_final[open_ap_liability_gbp],tbl_model_feed_final[reporting_month_date],P$4)/'02_Control'!$B$18,"")</f>
        <v>0</v>
      </c>
      <c r="Q32" s="27">
        <f>IF(Q$5="Actual",SUMIFS(tbl_model_feed_final[open_ap_liability_gbp],tbl_model_feed_final[reporting_month_date],Q$4)/'02_Control'!$B$18,"")</f>
        <v>0</v>
      </c>
      <c r="R32" s="27">
        <f>IF(R$5="Actual",SUMIFS(tbl_model_feed_final[open_ap_liability_gbp],tbl_model_feed_final[reporting_month_date],R$4)/'02_Control'!$B$18,"")</f>
        <v>0</v>
      </c>
      <c r="S32" s="27">
        <f>IF(S$5="Actual",SUMIFS(tbl_model_feed_final[open_ap_liability_gbp],tbl_model_feed_final[reporting_month_date],S$4)/'02_Control'!$B$18,"")</f>
        <v>0</v>
      </c>
      <c r="T32" s="27">
        <f>IF(T$5="Actual",SUMIFS(tbl_model_feed_final[open_ap_liability_gbp],tbl_model_feed_final[reporting_month_date],T$4)/'02_Control'!$B$18,"")</f>
        <v>0</v>
      </c>
      <c r="U32" s="27">
        <f>IF(U$5="Actual",SUMIFS(tbl_model_feed_final[open_ap_liability_gbp],tbl_model_feed_final[reporting_month_date],U$4)/'02_Control'!$B$18,"")</f>
        <v>0</v>
      </c>
      <c r="V32" s="27">
        <f>IF(V$5="Actual",SUMIFS(tbl_model_feed_final[open_ap_liability_gbp],tbl_model_feed_final[reporting_month_date],V$4)/'02_Control'!$B$18,"")</f>
        <v>0</v>
      </c>
      <c r="W32" s="27">
        <f>IF(W$5="Actual",SUMIFS(tbl_model_feed_final[open_ap_liability_gbp],tbl_model_feed_final[reporting_month_date],W$4)/'02_Control'!$B$18,"")</f>
        <v>0</v>
      </c>
      <c r="X32" s="27">
        <f>IF(X$5="Actual",SUMIFS(tbl_model_feed_final[open_ap_liability_gbp],tbl_model_feed_final[reporting_month_date],X$4)/'02_Control'!$B$18,"")</f>
        <v>0</v>
      </c>
      <c r="Y32" s="27">
        <f>IF(Y$5="Actual",SUMIFS(tbl_model_feed_final[open_ap_liability_gbp],tbl_model_feed_final[reporting_month_date],Y$4)/'02_Control'!$B$18,"")</f>
        <v>0</v>
      </c>
      <c r="Z32" s="27">
        <f>IF(Z$5="Actual",SUMIFS(tbl_model_feed_final[open_ap_liability_gbp],tbl_model_feed_final[reporting_month_date],Z$4)/'02_Control'!$B$18,"")</f>
        <v>0</v>
      </c>
      <c r="AA32" s="27">
        <f>IF(AA$5="Actual",SUMIFS(tbl_model_feed_final[open_ap_liability_gbp],tbl_model_feed_final[reporting_month_date],AA$4)/'02_Control'!$B$18,"")</f>
        <v>0</v>
      </c>
      <c r="AB32" s="27">
        <f>IF(AB$5="Actual",SUMIFS(tbl_model_feed_final[open_ap_liability_gbp],tbl_model_feed_final[reporting_month_date],AB$4)/'02_Control'!$B$18,"")</f>
        <v>0</v>
      </c>
      <c r="AC32" s="27">
        <f>IF(AC$5="Actual",SUMIFS(tbl_model_feed_final[open_ap_liability_gbp],tbl_model_feed_final[reporting_month_date],AC$4)/'02_Control'!$B$18,"")</f>
        <v>0</v>
      </c>
      <c r="AD32" s="27">
        <f>IF(AD$5="Actual",SUMIFS(tbl_model_feed_final[open_ap_liability_gbp],tbl_model_feed_final[reporting_month_date],AD$4)/'02_Control'!$B$18,"")</f>
        <v>0</v>
      </c>
      <c r="AE32" s="27">
        <f>IF(AE$5="Actual",SUMIFS(tbl_model_feed_final[open_ap_liability_gbp],tbl_model_feed_final[reporting_month_date],AE$4)/'02_Control'!$B$18,"")</f>
        <v>0</v>
      </c>
      <c r="AF32" s="27">
        <f>IF(AF$5="Actual",SUMIFS(tbl_model_feed_final[open_ap_liability_gbp],tbl_model_feed_final[reporting_month_date],AF$4)/'02_Control'!$B$18,"")</f>
        <v>0</v>
      </c>
      <c r="AG32" s="27">
        <f>IF(AG$5="Actual",SUMIFS(tbl_model_feed_final[open_ap_liability_gbp],tbl_model_feed_final[reporting_month_date],AG$4)/'02_Control'!$B$18,"")</f>
        <v>0</v>
      </c>
      <c r="AH32" s="27">
        <f>IF(AH$5="Actual",SUMIFS(tbl_model_feed_final[open_ap_liability_gbp],tbl_model_feed_final[reporting_month_date],AH$4)/'02_Control'!$B$18,"")</f>
        <v>0</v>
      </c>
      <c r="AI32" s="27">
        <f>IF(AI$5="Actual",SUMIFS(tbl_model_feed_final[open_ap_liability_gbp],tbl_model_feed_final[reporting_month_date],AI$4)/'02_Control'!$B$18,"")</f>
        <v>0</v>
      </c>
      <c r="AJ32" s="27">
        <f>IF(AJ$5="Actual",SUMIFS(tbl_model_feed_final[open_ap_liability_gbp],tbl_model_feed_final[reporting_month_date],AJ$4)/'02_Control'!$B$18,"")</f>
        <v>0</v>
      </c>
      <c r="AK32" s="27">
        <f>IF(AK$5="Actual",SUMIFS(tbl_model_feed_final[open_ap_liability_gbp],tbl_model_feed_final[reporting_month_date],AK$4)/'02_Control'!$B$18,"")</f>
        <v>0</v>
      </c>
      <c r="AL32" s="27">
        <f>IF(AL$5="Actual",SUMIFS(tbl_model_feed_final[open_ap_liability_gbp],tbl_model_feed_final[reporting_month_date],AL$4)/'02_Control'!$B$18,"")</f>
        <v>0</v>
      </c>
      <c r="AM32" s="27">
        <f>IF(AM$5="Actual",SUMIFS(tbl_model_feed_final[open_ap_liability_gbp],tbl_model_feed_final[reporting_month_date],AM$4)/'02_Control'!$B$18,"")</f>
        <v>0</v>
      </c>
      <c r="AN32" s="27">
        <f>IF(AN$5="Actual",SUMIFS(tbl_model_feed_final[open_ap_liability_gbp],tbl_model_feed_final[reporting_month_date],AN$4)/'02_Control'!$B$18,"")</f>
        <v>0</v>
      </c>
      <c r="AO32" s="27">
        <f>IF(AO$5="Actual",SUMIFS(tbl_model_feed_final[open_ap_liability_gbp],tbl_model_feed_final[reporting_month_date],AO$4)/'02_Control'!$B$18,"")</f>
        <v>0</v>
      </c>
      <c r="AP32" s="27">
        <f>IF(AP$5="Actual",SUMIFS(tbl_model_feed_final[open_ap_liability_gbp],tbl_model_feed_final[reporting_month_date],AP$4)/'02_Control'!$B$18,"")</f>
        <v>0</v>
      </c>
      <c r="AQ32" s="28">
        <f>IF(AQ$5="Actual",SUMIFS(tbl_model_feed_final[open_ap_liability_gbp],tbl_model_feed_final[reporting_month_date],AQ$4)/'02_Control'!$B$18,"")</f>
        <v>2647064.0100000007</v>
      </c>
      <c r="AR32" s="27">
        <f>IF(AR$5="Actual",SUMIFS(tbl_model_feed_final[open_ap_liability_gbp],tbl_model_feed_final[reporting_month_date],AR$4)/'02_Control'!$B$18,AR20*_xlfn.XLOOKUP("Open AP % of AP Spend",tbl_assumptions[Driver],tbl_assumptions[Selected Scenario]))</f>
        <v>9407.5732800000005</v>
      </c>
      <c r="AS32" s="27">
        <f>IF(AS$5="Actual",SUMIFS(tbl_model_feed_final[open_ap_liability_gbp],tbl_model_feed_final[reporting_month_date],AS$4)/'02_Control'!$B$18,AS20*_xlfn.XLOOKUP("Open AP % of AP Spend",tbl_assumptions[Driver],tbl_assumptions[Selected Scenario]))</f>
        <v>9482.8338662400001</v>
      </c>
      <c r="AT32" s="27">
        <f>IF(AT$5="Actual",SUMIFS(tbl_model_feed_final[open_ap_liability_gbp],tbl_model_feed_final[reporting_month_date],AT$4)/'02_Control'!$B$18,AT20*_xlfn.XLOOKUP("Open AP % of AP Spend",tbl_assumptions[Driver],tbl_assumptions[Selected Scenario]))</f>
        <v>9558.6965371699189</v>
      </c>
      <c r="AU32" s="27">
        <f>IF(AU$5="Actual",SUMIFS(tbl_model_feed_final[open_ap_liability_gbp],tbl_model_feed_final[reporting_month_date],AU$4)/'02_Control'!$B$18,AU20*_xlfn.XLOOKUP("Open AP % of AP Spend",tbl_assumptions[Driver],tbl_assumptions[Selected Scenario]))</f>
        <v>9635.16610946728</v>
      </c>
      <c r="AV32" s="27">
        <f>IF(AV$5="Actual",SUMIFS(tbl_model_feed_final[open_ap_liability_gbp],tbl_model_feed_final[reporting_month_date],AV$4)/'02_Control'!$B$18,AV20*_xlfn.XLOOKUP("Open AP % of AP Spend",tbl_assumptions[Driver],tbl_assumptions[Selected Scenario]))</f>
        <v>9712.2474383430181</v>
      </c>
      <c r="AW32" s="27">
        <f>IF(AW$5="Actual",SUMIFS(tbl_model_feed_final[open_ap_liability_gbp],tbl_model_feed_final[reporting_month_date],AW$4)/'02_Control'!$B$18,AW20*_xlfn.XLOOKUP("Open AP % of AP Spend",tbl_assumptions[Driver],tbl_assumptions[Selected Scenario]))</f>
        <v>9789.9454178497635</v>
      </c>
      <c r="AX32" s="27">
        <f>IF(AX$5="Actual",SUMIFS(tbl_model_feed_final[open_ap_liability_gbp],tbl_model_feed_final[reporting_month_date],AX$4)/'02_Control'!$B$18,AX20*_xlfn.XLOOKUP("Open AP % of AP Spend",tbl_assumptions[Driver],tbl_assumptions[Selected Scenario]))</f>
        <v>9868.2649811925603</v>
      </c>
      <c r="AY32" s="27">
        <f>IF(AY$5="Actual",SUMIFS(tbl_model_feed_final[open_ap_liability_gbp],tbl_model_feed_final[reporting_month_date],AY$4)/'02_Control'!$B$18,AY20*_xlfn.XLOOKUP("Open AP % of AP Spend",tbl_assumptions[Driver],tbl_assumptions[Selected Scenario]))</f>
        <v>9947.2111010420995</v>
      </c>
      <c r="AZ32" s="27">
        <f>IF(AZ$5="Actual",SUMIFS(tbl_model_feed_final[open_ap_liability_gbp],tbl_model_feed_final[reporting_month_date],AZ$4)/'02_Control'!$B$18,AZ20*_xlfn.XLOOKUP("Open AP % of AP Spend",tbl_assumptions[Driver],tbl_assumptions[Selected Scenario]))</f>
        <v>10026.788789850438</v>
      </c>
      <c r="BA32" s="27">
        <f>IF(BA$5="Actual",SUMIFS(tbl_model_feed_final[open_ap_liability_gbp],tbl_model_feed_final[reporting_month_date],BA$4)/'02_Control'!$B$18,BA20*_xlfn.XLOOKUP("Open AP % of AP Spend",tbl_assumptions[Driver],tbl_assumptions[Selected Scenario]))</f>
        <v>10107.00310016924</v>
      </c>
      <c r="BB32" s="27">
        <f>IF(BB$5="Actual",SUMIFS(tbl_model_feed_final[open_ap_liability_gbp],tbl_model_feed_final[reporting_month_date],BB$4)/'02_Control'!$B$18,BB20*_xlfn.XLOOKUP("Open AP % of AP Spend",tbl_assumptions[Driver],tbl_assumptions[Selected Scenario]))</f>
        <v>10187.859124970593</v>
      </c>
      <c r="BC32" s="27">
        <f>IF(BC$5="Actual",SUMIFS(tbl_model_feed_final[open_ap_liability_gbp],tbl_model_feed_final[reporting_month_date],BC$4)/'02_Control'!$B$18,BC20*_xlfn.XLOOKUP("Open AP % of AP Spend",tbl_assumptions[Driver],tbl_assumptions[Selected Scenario]))</f>
        <v>10269.36199797036</v>
      </c>
      <c r="BD32" s="27">
        <f>IF(BD$5="Actual",SUMIFS(tbl_model_feed_final[open_ap_liability_gbp],tbl_model_feed_final[reporting_month_date],BD$4)/'02_Control'!$B$18,BD20*_xlfn.XLOOKUP("Open AP % of AP Spend",tbl_assumptions[Driver],tbl_assumptions[Selected Scenario]))</f>
        <v>10351.516893954124</v>
      </c>
      <c r="BE32" s="27">
        <f>IF(BE$5="Actual",SUMIFS(tbl_model_feed_final[open_ap_liability_gbp],tbl_model_feed_final[reporting_month_date],BE$4)/'02_Control'!$B$18,BE20*_xlfn.XLOOKUP("Open AP % of AP Spend",tbl_assumptions[Driver],tbl_assumptions[Selected Scenario]))</f>
        <v>10434.329029105755</v>
      </c>
      <c r="BF32" s="27">
        <f>IF(BF$5="Actual",SUMIFS(tbl_model_feed_final[open_ap_liability_gbp],tbl_model_feed_final[reporting_month_date],BF$4)/'02_Control'!$B$18,BF20*_xlfn.XLOOKUP("Open AP % of AP Spend",tbl_assumptions[Driver],tbl_assumptions[Selected Scenario]))</f>
        <v>10517.803661338603</v>
      </c>
      <c r="BG32" s="27">
        <f>IF(BG$5="Actual",SUMIFS(tbl_model_feed_final[open_ap_liability_gbp],tbl_model_feed_final[reporting_month_date],BG$4)/'02_Control'!$B$18,BG20*_xlfn.XLOOKUP("Open AP % of AP Spend",tbl_assumptions[Driver],tbl_assumptions[Selected Scenario]))</f>
        <v>10601.94609062931</v>
      </c>
      <c r="BH32" s="27">
        <f>IF(BH$5="Actual",SUMIFS(tbl_model_feed_final[open_ap_liability_gbp],tbl_model_feed_final[reporting_month_date],BH$4)/'02_Control'!$B$18,BH20*_xlfn.XLOOKUP("Open AP % of AP Spend",tbl_assumptions[Driver],tbl_assumptions[Selected Scenario]))</f>
        <v>10686.761659354346</v>
      </c>
      <c r="BI32" s="27">
        <f>IF(BI$5="Actual",SUMIFS(tbl_model_feed_final[open_ap_liability_gbp],tbl_model_feed_final[reporting_month_date],BI$4)/'02_Control'!$B$18,BI20*_xlfn.XLOOKUP("Open AP % of AP Spend",tbl_assumptions[Driver],tbl_assumptions[Selected Scenario]))</f>
        <v>10772.25575262918</v>
      </c>
      <c r="BJ32" s="27">
        <f>IF(BJ$5="Actual",SUMIFS(tbl_model_feed_final[open_ap_liability_gbp],tbl_model_feed_final[reporting_month_date],BJ$4)/'02_Control'!$B$18,BJ20*_xlfn.XLOOKUP("Open AP % of AP Spend",tbl_assumptions[Driver],tbl_assumptions[Selected Scenario]))</f>
        <v>10858.433798650214</v>
      </c>
      <c r="BK32" s="27">
        <f>IF(BK$5="Actual",SUMIFS(tbl_model_feed_final[open_ap_liability_gbp],tbl_model_feed_final[reporting_month_date],BK$4)/'02_Control'!$B$18,BK20*_xlfn.XLOOKUP("Open AP % of AP Spend",tbl_assumptions[Driver],tbl_assumptions[Selected Scenario]))</f>
        <v>10945.301269039415</v>
      </c>
      <c r="BL32" s="27">
        <f>IF(BL$5="Actual",SUMIFS(tbl_model_feed_final[open_ap_liability_gbp],tbl_model_feed_final[reporting_month_date],BL$4)/'02_Control'!$B$18,BL20*_xlfn.XLOOKUP("Open AP % of AP Spend",tbl_assumptions[Driver],tbl_assumptions[Selected Scenario]))</f>
        <v>11032.863679191732</v>
      </c>
      <c r="BM32" s="27">
        <f>IF(BM$5="Actual",SUMIFS(tbl_model_feed_final[open_ap_liability_gbp],tbl_model_feed_final[reporting_month_date],BM$4)/'02_Control'!$B$18,BM20*_xlfn.XLOOKUP("Open AP % of AP Spend",tbl_assumptions[Driver],tbl_assumptions[Selected Scenario]))</f>
        <v>11121.126588625266</v>
      </c>
      <c r="BN32" s="27">
        <f>IF(BN$5="Actual",SUMIFS(tbl_model_feed_final[open_ap_liability_gbp],tbl_model_feed_final[reporting_month_date],BN$4)/'02_Control'!$B$18,BN20*_xlfn.XLOOKUP("Open AP % of AP Spend",tbl_assumptions[Driver],tbl_assumptions[Selected Scenario]))</f>
        <v>11210.095601334267</v>
      </c>
      <c r="BO32" s="27">
        <f>IF(BO$5="Actual",SUMIFS(tbl_model_feed_final[open_ap_liability_gbp],tbl_model_feed_final[reporting_month_date],BO$4)/'02_Control'!$B$18,BO20*_xlfn.XLOOKUP("Open AP % of AP Spend",tbl_assumptions[Driver],tbl_assumptions[Selected Scenario]))</f>
        <v>11299.776366144943</v>
      </c>
      <c r="BP32" s="27">
        <f>IF(BP$5="Actual",SUMIFS(tbl_model_feed_final[open_ap_liability_gbp],tbl_model_feed_final[reporting_month_date],BP$4)/'02_Control'!$B$18,BP20*_xlfn.XLOOKUP("Open AP % of AP Spend",tbl_assumptions[Driver],tbl_assumptions[Selected Scenario]))</f>
        <v>11390.174577074102</v>
      </c>
      <c r="BQ32" s="27">
        <f>IF(BQ$5="Actual",SUMIFS(tbl_model_feed_final[open_ap_liability_gbp],tbl_model_feed_final[reporting_month_date],BQ$4)/'02_Control'!$B$18,BQ20*_xlfn.XLOOKUP("Open AP % of AP Spend",tbl_assumptions[Driver],tbl_assumptions[Selected Scenario]))</f>
        <v>11481.295973690694</v>
      </c>
      <c r="BR32" s="27">
        <f>IF(BR$5="Actual",SUMIFS(tbl_model_feed_final[open_ap_liability_gbp],tbl_model_feed_final[reporting_month_date],BR$4)/'02_Control'!$B$18,BR20*_xlfn.XLOOKUP("Open AP % of AP Spend",tbl_assumptions[Driver],tbl_assumptions[Selected Scenario]))</f>
        <v>11573.14634148022</v>
      </c>
      <c r="BS32" s="27">
        <f>IF(BS$5="Actual",SUMIFS(tbl_model_feed_final[open_ap_liability_gbp],tbl_model_feed_final[reporting_month_date],BS$4)/'02_Control'!$B$18,BS20*_xlfn.XLOOKUP("Open AP % of AP Spend",tbl_assumptions[Driver],tbl_assumptions[Selected Scenario]))</f>
        <v>11665.731512212062</v>
      </c>
      <c r="BT32" s="27">
        <f>IF(BT$5="Actual",SUMIFS(tbl_model_feed_final[open_ap_liability_gbp],tbl_model_feed_final[reporting_month_date],BT$4)/'02_Control'!$B$18,BT20*_xlfn.XLOOKUP("Open AP % of AP Spend",tbl_assumptions[Driver],tbl_assumptions[Selected Scenario]))</f>
        <v>11759.057364309758</v>
      </c>
      <c r="BU32" s="27">
        <f>IF(BU$5="Actual",SUMIFS(tbl_model_feed_final[open_ap_liability_gbp],tbl_model_feed_final[reporting_month_date],BU$4)/'02_Control'!$B$18,BU20*_xlfn.XLOOKUP("Open AP % of AP Spend",tbl_assumptions[Driver],tbl_assumptions[Selected Scenario]))</f>
        <v>11853.129823224237</v>
      </c>
      <c r="BV32" s="27">
        <f>IF(BV$5="Actual",SUMIFS(tbl_model_feed_final[open_ap_liability_gbp],tbl_model_feed_final[reporting_month_date],BV$4)/'02_Control'!$B$18,BV20*_xlfn.XLOOKUP("Open AP % of AP Spend",tbl_assumptions[Driver],tbl_assumptions[Selected Scenario]))</f>
        <v>11947.954861810031</v>
      </c>
      <c r="BW32" s="27">
        <f>IF(BW$5="Actual",SUMIFS(tbl_model_feed_final[open_ap_liability_gbp],tbl_model_feed_final[reporting_month_date],BW$4)/'02_Control'!$B$18,BW20*_xlfn.XLOOKUP("Open AP % of AP Spend",tbl_assumptions[Driver],tbl_assumptions[Selected Scenario]))</f>
        <v>12043.53850070451</v>
      </c>
      <c r="BX32" s="27">
        <f>IF(BX$5="Actual",SUMIFS(tbl_model_feed_final[open_ap_liability_gbp],tbl_model_feed_final[reporting_month_date],BX$4)/'02_Control'!$B$18,BX20*_xlfn.XLOOKUP("Open AP % of AP Spend",tbl_assumptions[Driver],tbl_assumptions[Selected Scenario]))</f>
        <v>12139.886808710145</v>
      </c>
      <c r="BY32" s="27">
        <f>IF(BY$5="Actual",SUMIFS(tbl_model_feed_final[open_ap_liability_gbp],tbl_model_feed_final[reporting_month_date],BY$4)/'02_Control'!$B$18,BY20*_xlfn.XLOOKUP("Open AP % of AP Spend",tbl_assumptions[Driver],tbl_assumptions[Selected Scenario]))</f>
        <v>12237.005903179828</v>
      </c>
      <c r="BZ32" s="27">
        <f>IF(BZ$5="Actual",SUMIFS(tbl_model_feed_final[open_ap_liability_gbp],tbl_model_feed_final[reporting_month_date],BZ$4)/'02_Control'!$B$18,BZ20*_xlfn.XLOOKUP("Open AP % of AP Spend",tbl_assumptions[Driver],tbl_assumptions[Selected Scenario]))</f>
        <v>12334.901950405267</v>
      </c>
      <c r="CA32" s="27">
        <f>IF(CA$5="Actual",SUMIFS(tbl_model_feed_final[open_ap_liability_gbp],tbl_model_feed_final[reporting_month_date],CA$4)/'02_Control'!$B$18,CA20*_xlfn.XLOOKUP("Open AP % of AP Spend",tbl_assumptions[Driver],tbl_assumptions[Selected Scenario]))</f>
        <v>12433.581166008507</v>
      </c>
      <c r="CB32" s="27">
        <f>IF(CB$5="Actual",SUMIFS(tbl_model_feed_final[open_ap_liability_gbp],tbl_model_feed_final[reporting_month_date],CB$4)/'02_Control'!$B$18,CB20*_xlfn.XLOOKUP("Open AP % of AP Spend",tbl_assumptions[Driver],tbl_assumptions[Selected Scenario]))</f>
        <v>12533.049815336575</v>
      </c>
      <c r="CC32" s="27">
        <f>IF(CC$5="Actual",SUMIFS(tbl_model_feed_final[open_ap_liability_gbp],tbl_model_feed_final[reporting_month_date],CC$4)/'02_Control'!$B$18,CC20*_xlfn.XLOOKUP("Open AP % of AP Spend",tbl_assumptions[Driver],tbl_assumptions[Selected Scenario]))</f>
        <v>12633.314213859268</v>
      </c>
      <c r="CD32" s="27">
        <f>IF(CD$5="Actual",SUMIFS(tbl_model_feed_final[open_ap_liability_gbp],tbl_model_feed_final[reporting_month_date],CD$4)/'02_Control'!$B$18,CD20*_xlfn.XLOOKUP("Open AP % of AP Spend",tbl_assumptions[Driver],tbl_assumptions[Selected Scenario]))</f>
        <v>12734.380727570142</v>
      </c>
      <c r="CE32" s="27">
        <f>IF(CE$5="Actual",SUMIFS(tbl_model_feed_final[open_ap_liability_gbp],tbl_model_feed_final[reporting_month_date],CE$4)/'02_Control'!$B$18,CE20*_xlfn.XLOOKUP("Open AP % of AP Spend",tbl_assumptions[Driver],tbl_assumptions[Selected Scenario]))</f>
        <v>12836.255773390703</v>
      </c>
      <c r="CF32" s="27">
        <f>IF(CF$5="Actual",SUMIFS(tbl_model_feed_final[open_ap_liability_gbp],tbl_model_feed_final[reporting_month_date],CF$4)/'02_Control'!$B$18,CF20*_xlfn.XLOOKUP("Open AP % of AP Spend",tbl_assumptions[Driver],tbl_assumptions[Selected Scenario]))</f>
        <v>12938.94581957783</v>
      </c>
      <c r="CG32" s="27">
        <f>IF(CG$5="Actual",SUMIFS(tbl_model_feed_final[open_ap_liability_gbp],tbl_model_feed_final[reporting_month_date],CG$4)/'02_Control'!$B$18,CG20*_xlfn.XLOOKUP("Open AP % of AP Spend",tbl_assumptions[Driver],tbl_assumptions[Selected Scenario]))</f>
        <v>13042.457386134452</v>
      </c>
    </row>
    <row r="33" spans="1:85" x14ac:dyDescent="0.3">
      <c r="A33" s="26" t="s">
        <v>140</v>
      </c>
      <c r="B33" s="29">
        <f>IF(B$5="Actual",SUMIFS(tbl_model_feed_final[closing_deferred_revenue_gbp],tbl_model_feed_final[reporting_month_date],B$4)/'02_Control'!$B$18,"")</f>
        <v>2788373.4299999997</v>
      </c>
      <c r="C33" s="29">
        <f>IF(C$5="Actual",SUMIFS(tbl_model_feed_final[closing_deferred_revenue_gbp],tbl_model_feed_final[reporting_month_date],C$4)/'02_Control'!$B$18,"")</f>
        <v>4663315.78</v>
      </c>
      <c r="D33" s="29">
        <f>IF(D$5="Actual",SUMIFS(tbl_model_feed_final[closing_deferred_revenue_gbp],tbl_model_feed_final[reporting_month_date],D$4)/'02_Control'!$B$18,"")</f>
        <v>6214122.29</v>
      </c>
      <c r="E33" s="29">
        <f>IF(E$5="Actual",SUMIFS(tbl_model_feed_final[closing_deferred_revenue_gbp],tbl_model_feed_final[reporting_month_date],E$4)/'02_Control'!$B$18,"")</f>
        <v>7963201.0499999998</v>
      </c>
      <c r="F33" s="29">
        <f>IF(F$5="Actual",SUMIFS(tbl_model_feed_final[closing_deferred_revenue_gbp],tbl_model_feed_final[reporting_month_date],F$4)/'02_Control'!$B$18,"")</f>
        <v>9081122.6099999994</v>
      </c>
      <c r="G33" s="29">
        <f>IF(G$5="Actual",SUMIFS(tbl_model_feed_final[closing_deferred_revenue_gbp],tbl_model_feed_final[reporting_month_date],G$4)/'02_Control'!$B$18,"")</f>
        <v>10830418.390000001</v>
      </c>
      <c r="H33" s="29">
        <f>IF(H$5="Actual",SUMIFS(tbl_model_feed_final[closing_deferred_revenue_gbp],tbl_model_feed_final[reporting_month_date],H$4)/'02_Control'!$B$18,"")</f>
        <v>11719083.4</v>
      </c>
      <c r="I33" s="29">
        <f>IF(I$5="Actual",SUMIFS(tbl_model_feed_final[closing_deferred_revenue_gbp],tbl_model_feed_final[reporting_month_date],I$4)/'02_Control'!$B$18,"")</f>
        <v>12743267.700000001</v>
      </c>
      <c r="J33" s="29">
        <f>IF(J$5="Actual",SUMIFS(tbl_model_feed_final[closing_deferred_revenue_gbp],tbl_model_feed_final[reporting_month_date],J$4)/'02_Control'!$B$18,"")</f>
        <v>13523847.059999999</v>
      </c>
      <c r="K33" s="29">
        <f>IF(K$5="Actual",SUMIFS(tbl_model_feed_final[closing_deferred_revenue_gbp],tbl_model_feed_final[reporting_month_date],K$4)/'02_Control'!$B$18,"")</f>
        <v>13949224</v>
      </c>
      <c r="L33" s="29">
        <f>IF(L$5="Actual",SUMIFS(tbl_model_feed_final[closing_deferred_revenue_gbp],tbl_model_feed_final[reporting_month_date],L$4)/'02_Control'!$B$18,"")</f>
        <v>13626975.029999999</v>
      </c>
      <c r="M33" s="29">
        <f>IF(M$5="Actual",SUMIFS(tbl_model_feed_final[closing_deferred_revenue_gbp],tbl_model_feed_final[reporting_month_date],M$4)/'02_Control'!$B$18,"")</f>
        <v>13878237.35</v>
      </c>
      <c r="N33" s="29">
        <f>IF(N$5="Actual",SUMIFS(tbl_model_feed_final[closing_deferred_revenue_gbp],tbl_model_feed_final[reporting_month_date],N$4)/'02_Control'!$B$18,"")</f>
        <v>14606165.029999999</v>
      </c>
      <c r="O33" s="29">
        <f>IF(O$5="Actual",SUMIFS(tbl_model_feed_final[closing_deferred_revenue_gbp],tbl_model_feed_final[reporting_month_date],O$4)/'02_Control'!$B$18,"")</f>
        <v>15219795.709999999</v>
      </c>
      <c r="P33" s="29">
        <f>IF(P$5="Actual",SUMIFS(tbl_model_feed_final[closing_deferred_revenue_gbp],tbl_model_feed_final[reporting_month_date],P$4)/'02_Control'!$B$18,"")</f>
        <v>15402893.98</v>
      </c>
      <c r="Q33" s="29">
        <f>IF(Q$5="Actual",SUMIFS(tbl_model_feed_final[closing_deferred_revenue_gbp],tbl_model_feed_final[reporting_month_date],Q$4)/'02_Control'!$B$18,"")</f>
        <v>15905703.23</v>
      </c>
      <c r="R33" s="29">
        <f>IF(R$5="Actual",SUMIFS(tbl_model_feed_final[closing_deferred_revenue_gbp],tbl_model_feed_final[reporting_month_date],R$4)/'02_Control'!$B$18,"")</f>
        <v>16358793.66</v>
      </c>
      <c r="S33" s="29">
        <f>IF(S$5="Actual",SUMIFS(tbl_model_feed_final[closing_deferred_revenue_gbp],tbl_model_feed_final[reporting_month_date],S$4)/'02_Control'!$B$18,"")</f>
        <v>17251233.030000001</v>
      </c>
      <c r="T33" s="29">
        <f>IF(T$5="Actual",SUMIFS(tbl_model_feed_final[closing_deferred_revenue_gbp],tbl_model_feed_final[reporting_month_date],T$4)/'02_Control'!$B$18,"")</f>
        <v>17234973.729999997</v>
      </c>
      <c r="U33" s="29">
        <f>IF(U$5="Actual",SUMIFS(tbl_model_feed_final[closing_deferred_revenue_gbp],tbl_model_feed_final[reporting_month_date],U$4)/'02_Control'!$B$18,"")</f>
        <v>18031813.029999997</v>
      </c>
      <c r="V33" s="29">
        <f>IF(V$5="Actual",SUMIFS(tbl_model_feed_final[closing_deferred_revenue_gbp],tbl_model_feed_final[reporting_month_date],V$4)/'02_Control'!$B$18,"")</f>
        <v>18205713.25</v>
      </c>
      <c r="W33" s="29">
        <f>IF(W$5="Actual",SUMIFS(tbl_model_feed_final[closing_deferred_revenue_gbp],tbl_model_feed_final[reporting_month_date],W$4)/'02_Control'!$B$18,"")</f>
        <v>18390102.079999998</v>
      </c>
      <c r="X33" s="29">
        <f>IF(X$5="Actual",SUMIFS(tbl_model_feed_final[closing_deferred_revenue_gbp],tbl_model_feed_final[reporting_month_date],X$4)/'02_Control'!$B$18,"")</f>
        <v>17682996.18</v>
      </c>
      <c r="Y33" s="29">
        <f>IF(Y$5="Actual",SUMIFS(tbl_model_feed_final[closing_deferred_revenue_gbp],tbl_model_feed_final[reporting_month_date],Y$4)/'02_Control'!$B$18,"")</f>
        <v>17914006.439999998</v>
      </c>
      <c r="Z33" s="29">
        <f>IF(Z$5="Actual",SUMIFS(tbl_model_feed_final[closing_deferred_revenue_gbp],tbl_model_feed_final[reporting_month_date],Z$4)/'02_Control'!$B$18,"")</f>
        <v>18767092.270000003</v>
      </c>
      <c r="AA33" s="29">
        <f>IF(AA$5="Actual",SUMIFS(tbl_model_feed_final[closing_deferred_revenue_gbp],tbl_model_feed_final[reporting_month_date],AA$4)/'02_Control'!$B$18,"")</f>
        <v>19242043.509999998</v>
      </c>
      <c r="AB33" s="29">
        <f>IF(AB$5="Actual",SUMIFS(tbl_model_feed_final[closing_deferred_revenue_gbp],tbl_model_feed_final[reporting_month_date],AB$4)/'02_Control'!$B$18,"")</f>
        <v>19395469.09</v>
      </c>
      <c r="AC33" s="29">
        <f>IF(AC$5="Actual",SUMIFS(tbl_model_feed_final[closing_deferred_revenue_gbp],tbl_model_feed_final[reporting_month_date],AC$4)/'02_Control'!$B$18,"")</f>
        <v>19651900.859999999</v>
      </c>
      <c r="AD33" s="29">
        <f>IF(AD$5="Actual",SUMIFS(tbl_model_feed_final[closing_deferred_revenue_gbp],tbl_model_feed_final[reporting_month_date],AD$4)/'02_Control'!$B$18,"")</f>
        <v>20021486.219999999</v>
      </c>
      <c r="AE33" s="29">
        <f>IF(AE$5="Actual",SUMIFS(tbl_model_feed_final[closing_deferred_revenue_gbp],tbl_model_feed_final[reporting_month_date],AE$4)/'02_Control'!$B$18,"")</f>
        <v>20467639.359999999</v>
      </c>
      <c r="AF33" s="29">
        <f>IF(AF$5="Actual",SUMIFS(tbl_model_feed_final[closing_deferred_revenue_gbp],tbl_model_feed_final[reporting_month_date],AF$4)/'02_Control'!$B$18,"")</f>
        <v>20748534.68</v>
      </c>
      <c r="AG33" s="29">
        <f>IF(AG$5="Actual",SUMIFS(tbl_model_feed_final[closing_deferred_revenue_gbp],tbl_model_feed_final[reporting_month_date],AG$4)/'02_Control'!$B$18,"")</f>
        <v>21670187.98</v>
      </c>
      <c r="AH33" s="29">
        <f>IF(AH$5="Actual",SUMIFS(tbl_model_feed_final[closing_deferred_revenue_gbp],tbl_model_feed_final[reporting_month_date],AH$4)/'02_Control'!$B$18,"")</f>
        <v>21778541.190000001</v>
      </c>
      <c r="AI33" s="29">
        <f>IF(AI$5="Actual",SUMIFS(tbl_model_feed_final[closing_deferred_revenue_gbp],tbl_model_feed_final[reporting_month_date],AI$4)/'02_Control'!$B$18,"")</f>
        <v>21938511.680000003</v>
      </c>
      <c r="AJ33" s="29">
        <f>IF(AJ$5="Actual",SUMIFS(tbl_model_feed_final[closing_deferred_revenue_gbp],tbl_model_feed_final[reporting_month_date],AJ$4)/'02_Control'!$B$18,"")</f>
        <v>20968850.690000001</v>
      </c>
      <c r="AK33" s="29">
        <f>IF(AK$5="Actual",SUMIFS(tbl_model_feed_final[closing_deferred_revenue_gbp],tbl_model_feed_final[reporting_month_date],AK$4)/'02_Control'!$B$18,"")</f>
        <v>20964418.640000001</v>
      </c>
      <c r="AL33" s="29">
        <f>IF(AL$5="Actual",SUMIFS(tbl_model_feed_final[closing_deferred_revenue_gbp],tbl_model_feed_final[reporting_month_date],AL$4)/'02_Control'!$B$18,"")</f>
        <v>21395580.07</v>
      </c>
      <c r="AM33" s="29">
        <f>IF(AM$5="Actual",SUMIFS(tbl_model_feed_final[closing_deferred_revenue_gbp],tbl_model_feed_final[reporting_month_date],AM$4)/'02_Control'!$B$18,"")</f>
        <v>21540052.16</v>
      </c>
      <c r="AN33" s="29">
        <f>IF(AN$5="Actual",SUMIFS(tbl_model_feed_final[closing_deferred_revenue_gbp],tbl_model_feed_final[reporting_month_date],AN$4)/'02_Control'!$B$18,"")</f>
        <v>21346945.199999999</v>
      </c>
      <c r="AO33" s="29">
        <f>IF(AO$5="Actual",SUMIFS(tbl_model_feed_final[closing_deferred_revenue_gbp],tbl_model_feed_final[reporting_month_date],AO$4)/'02_Control'!$B$18,"")</f>
        <v>21370973.419999998</v>
      </c>
      <c r="AP33" s="29">
        <f>IF(AP$5="Actual",SUMIFS(tbl_model_feed_final[closing_deferred_revenue_gbp],tbl_model_feed_final[reporting_month_date],AP$4)/'02_Control'!$B$18,"")</f>
        <v>21266996.09</v>
      </c>
      <c r="AQ33" s="30">
        <f>IF(AQ$5="Actual",SUMIFS(tbl_model_feed_final[closing_deferred_revenue_gbp],tbl_model_feed_final[reporting_month_date],AQ$4)/'02_Control'!$B$18,"")</f>
        <v>21498508.960000001</v>
      </c>
      <c r="AR33" s="29">
        <f>IF(AR$5="Actual",SUMIFS(tbl_model_feed_final[closing_deferred_revenue_gbp],tbl_model_feed_final[reporting_month_date],AR$4)/'02_Control'!$B$18,AR11*_xlfn.XLOOKUP("Deferred Revenue % of Billings",tbl_assumptions[Driver],tbl_assumptions[Selected Scenario]))</f>
        <v>4861705.5486720018</v>
      </c>
      <c r="AS33" s="29">
        <f>IF(AS$5="Actual",SUMIFS(tbl_model_feed_final[closing_deferred_revenue_gbp],tbl_model_feed_final[reporting_month_date],AS$4)/'02_Control'!$B$18,AS11*_xlfn.XLOOKUP("Deferred Revenue % of Billings",tbl_assumptions[Driver],tbl_assumptions[Selected Scenario]))</f>
        <v>4900599.1930613779</v>
      </c>
      <c r="AT33" s="29">
        <f>IF(AT$5="Actual",SUMIFS(tbl_model_feed_final[closing_deferred_revenue_gbp],tbl_model_feed_final[reporting_month_date],AT$4)/'02_Control'!$B$18,AT11*_xlfn.XLOOKUP("Deferred Revenue % of Billings",tbl_assumptions[Driver],tbl_assumptions[Selected Scenario]))</f>
        <v>4939803.9866058696</v>
      </c>
      <c r="AU33" s="29">
        <f>IF(AU$5="Actual",SUMIFS(tbl_model_feed_final[closing_deferred_revenue_gbp],tbl_model_feed_final[reporting_month_date],AU$4)/'02_Control'!$B$18,AU11*_xlfn.XLOOKUP("Deferred Revenue % of Billings",tbl_assumptions[Driver],tbl_assumptions[Selected Scenario]))</f>
        <v>4979322.4184987163</v>
      </c>
      <c r="AV33" s="29">
        <f>IF(AV$5="Actual",SUMIFS(tbl_model_feed_final[closing_deferred_revenue_gbp],tbl_model_feed_final[reporting_month_date],AV$4)/'02_Control'!$B$18,AV11*_xlfn.XLOOKUP("Deferred Revenue % of Billings",tbl_assumptions[Driver],tbl_assumptions[Selected Scenario]))</f>
        <v>5019156.9978467068</v>
      </c>
      <c r="AW33" s="29">
        <f>IF(AW$5="Actual",SUMIFS(tbl_model_feed_final[closing_deferred_revenue_gbp],tbl_model_feed_final[reporting_month_date],AW$4)/'02_Control'!$B$18,AW11*_xlfn.XLOOKUP("Deferred Revenue % of Billings",tbl_assumptions[Driver],tbl_assumptions[Selected Scenario]))</f>
        <v>5059310.2538294801</v>
      </c>
      <c r="AX33" s="29">
        <f>IF(AX$5="Actual",SUMIFS(tbl_model_feed_final[closing_deferred_revenue_gbp],tbl_model_feed_final[reporting_month_date],AX$4)/'02_Control'!$B$18,AX11*_xlfn.XLOOKUP("Deferred Revenue % of Billings",tbl_assumptions[Driver],tbl_assumptions[Selected Scenario]))</f>
        <v>5099784.7358601168</v>
      </c>
      <c r="AY33" s="29">
        <f>IF(AY$5="Actual",SUMIFS(tbl_model_feed_final[closing_deferred_revenue_gbp],tbl_model_feed_final[reporting_month_date],AY$4)/'02_Control'!$B$18,AY11*_xlfn.XLOOKUP("Deferred Revenue % of Billings",tbl_assumptions[Driver],tbl_assumptions[Selected Scenario]))</f>
        <v>5140583.0137469973</v>
      </c>
      <c r="AZ33" s="29">
        <f>IF(AZ$5="Actual",SUMIFS(tbl_model_feed_final[closing_deferred_revenue_gbp],tbl_model_feed_final[reporting_month_date],AZ$4)/'02_Control'!$B$18,AZ11*_xlfn.XLOOKUP("Deferred Revenue % of Billings",tbl_assumptions[Driver],tbl_assumptions[Selected Scenario]))</f>
        <v>5181707.6778569734</v>
      </c>
      <c r="BA33" s="29">
        <f>IF(BA$5="Actual",SUMIFS(tbl_model_feed_final[closing_deferred_revenue_gbp],tbl_model_feed_final[reporting_month_date],BA$4)/'02_Control'!$B$18,BA11*_xlfn.XLOOKUP("Deferred Revenue % of Billings",tbl_assumptions[Driver],tbl_assumptions[Selected Scenario]))</f>
        <v>5223161.3392798295</v>
      </c>
      <c r="BB33" s="29">
        <f>IF(BB$5="Actual",SUMIFS(tbl_model_feed_final[closing_deferred_revenue_gbp],tbl_model_feed_final[reporting_month_date],BB$4)/'02_Control'!$B$18,BB11*_xlfn.XLOOKUP("Deferred Revenue % of Billings",tbl_assumptions[Driver],tbl_assumptions[Selected Scenario]))</f>
        <v>5264946.6299940683</v>
      </c>
      <c r="BC33" s="29">
        <f>IF(BC$5="Actual",SUMIFS(tbl_model_feed_final[closing_deferred_revenue_gbp],tbl_model_feed_final[reporting_month_date],BC$4)/'02_Control'!$B$18,BC11*_xlfn.XLOOKUP("Deferred Revenue % of Billings",tbl_assumptions[Driver],tbl_assumptions[Selected Scenario]))</f>
        <v>5307066.203034021</v>
      </c>
      <c r="BD33" s="29">
        <f>IF(BD$5="Actual",SUMIFS(tbl_model_feed_final[closing_deferred_revenue_gbp],tbl_model_feed_final[reporting_month_date],BD$4)/'02_Control'!$B$18,BD11*_xlfn.XLOOKUP("Deferred Revenue % of Billings",tbl_assumptions[Driver],tbl_assumptions[Selected Scenario]))</f>
        <v>5349522.7326582931</v>
      </c>
      <c r="BE33" s="29">
        <f>IF(BE$5="Actual",SUMIFS(tbl_model_feed_final[closing_deferred_revenue_gbp],tbl_model_feed_final[reporting_month_date],BE$4)/'02_Control'!$B$18,BE11*_xlfn.XLOOKUP("Deferred Revenue % of Billings",tbl_assumptions[Driver],tbl_assumptions[Selected Scenario]))</f>
        <v>5392318.9145195596</v>
      </c>
      <c r="BF33" s="29">
        <f>IF(BF$5="Actual",SUMIFS(tbl_model_feed_final[closing_deferred_revenue_gbp],tbl_model_feed_final[reporting_month_date],BF$4)/'02_Control'!$B$18,BF11*_xlfn.XLOOKUP("Deferred Revenue % of Billings",tbl_assumptions[Driver],tbl_assumptions[Selected Scenario]))</f>
        <v>5435457.4658357156</v>
      </c>
      <c r="BG33" s="29">
        <f>IF(BG$5="Actual",SUMIFS(tbl_model_feed_final[closing_deferred_revenue_gbp],tbl_model_feed_final[reporting_month_date],BG$4)/'02_Control'!$B$18,BG11*_xlfn.XLOOKUP("Deferred Revenue % of Billings",tbl_assumptions[Driver],tbl_assumptions[Selected Scenario]))</f>
        <v>5478941.1255624015</v>
      </c>
      <c r="BH33" s="29">
        <f>IF(BH$5="Actual",SUMIFS(tbl_model_feed_final[closing_deferred_revenue_gbp],tbl_model_feed_final[reporting_month_date],BH$4)/'02_Control'!$B$18,BH11*_xlfn.XLOOKUP("Deferred Revenue % of Billings",tbl_assumptions[Driver],tbl_assumptions[Selected Scenario]))</f>
        <v>5522772.6545669008</v>
      </c>
      <c r="BI33" s="29">
        <f>IF(BI$5="Actual",SUMIFS(tbl_model_feed_final[closing_deferred_revenue_gbp],tbl_model_feed_final[reporting_month_date],BI$4)/'02_Control'!$B$18,BI11*_xlfn.XLOOKUP("Deferred Revenue % of Billings",tbl_assumptions[Driver],tbl_assumptions[Selected Scenario]))</f>
        <v>5566954.8358034361</v>
      </c>
      <c r="BJ33" s="29">
        <f>IF(BJ$5="Actual",SUMIFS(tbl_model_feed_final[closing_deferred_revenue_gbp],tbl_model_feed_final[reporting_month_date],BJ$4)/'02_Control'!$B$18,BJ11*_xlfn.XLOOKUP("Deferred Revenue % of Billings",tbl_assumptions[Driver],tbl_assumptions[Selected Scenario]))</f>
        <v>5611490.474489864</v>
      </c>
      <c r="BK33" s="29">
        <f>IF(BK$5="Actual",SUMIFS(tbl_model_feed_final[closing_deferred_revenue_gbp],tbl_model_feed_final[reporting_month_date],BK$4)/'02_Control'!$B$18,BK11*_xlfn.XLOOKUP("Deferred Revenue % of Billings",tbl_assumptions[Driver],tbl_assumptions[Selected Scenario]))</f>
        <v>5656382.3982857829</v>
      </c>
      <c r="BL33" s="29">
        <f>IF(BL$5="Actual",SUMIFS(tbl_model_feed_final[closing_deferred_revenue_gbp],tbl_model_feed_final[reporting_month_date],BL$4)/'02_Control'!$B$18,BL11*_xlfn.XLOOKUP("Deferred Revenue % of Billings",tbl_assumptions[Driver],tbl_assumptions[Selected Scenario]))</f>
        <v>5701633.4574720692</v>
      </c>
      <c r="BM33" s="29">
        <f>IF(BM$5="Actual",SUMIFS(tbl_model_feed_final[closing_deferred_revenue_gbp],tbl_model_feed_final[reporting_month_date],BM$4)/'02_Control'!$B$18,BM11*_xlfn.XLOOKUP("Deferred Revenue % of Billings",tbl_assumptions[Driver],tbl_assumptions[Selected Scenario]))</f>
        <v>5747246.5251318458</v>
      </c>
      <c r="BN33" s="29">
        <f>IF(BN$5="Actual",SUMIFS(tbl_model_feed_final[closing_deferred_revenue_gbp],tbl_model_feed_final[reporting_month_date],BN$4)/'02_Control'!$B$18,BN11*_xlfn.XLOOKUP("Deferred Revenue % of Billings",tbl_assumptions[Driver],tbl_assumptions[Selected Scenario]))</f>
        <v>5793224.4973329008</v>
      </c>
      <c r="BO33" s="29">
        <f>IF(BO$5="Actual",SUMIFS(tbl_model_feed_final[closing_deferred_revenue_gbp],tbl_model_feed_final[reporting_month_date],BO$4)/'02_Control'!$B$18,BO11*_xlfn.XLOOKUP("Deferred Revenue % of Billings",tbl_assumptions[Driver],tbl_assumptions[Selected Scenario]))</f>
        <v>5839570.2933115633</v>
      </c>
      <c r="BP33" s="29">
        <f>IF(BP$5="Actual",SUMIFS(tbl_model_feed_final[closing_deferred_revenue_gbp],tbl_model_feed_final[reporting_month_date],BP$4)/'02_Control'!$B$18,BP11*_xlfn.XLOOKUP("Deferred Revenue % of Billings",tbl_assumptions[Driver],tbl_assumptions[Selected Scenario]))</f>
        <v>5886286.8556580562</v>
      </c>
      <c r="BQ33" s="29">
        <f>IF(BQ$5="Actual",SUMIFS(tbl_model_feed_final[closing_deferred_revenue_gbp],tbl_model_feed_final[reporting_month_date],BQ$4)/'02_Control'!$B$18,BQ11*_xlfn.XLOOKUP("Deferred Revenue % of Billings",tbl_assumptions[Driver],tbl_assumptions[Selected Scenario]))</f>
        <v>5933377.1505033206</v>
      </c>
      <c r="BR33" s="29">
        <f>IF(BR$5="Actual",SUMIFS(tbl_model_feed_final[closing_deferred_revenue_gbp],tbl_model_feed_final[reporting_month_date],BR$4)/'02_Control'!$B$18,BR11*_xlfn.XLOOKUP("Deferred Revenue % of Billings",tbl_assumptions[Driver],tbl_assumptions[Selected Scenario]))</f>
        <v>5980844.1677073473</v>
      </c>
      <c r="BS33" s="29">
        <f>IF(BS$5="Actual",SUMIFS(tbl_model_feed_final[closing_deferred_revenue_gbp],tbl_model_feed_final[reporting_month_date],BS$4)/'02_Control'!$B$18,BS11*_xlfn.XLOOKUP("Deferred Revenue % of Billings",tbl_assumptions[Driver],tbl_assumptions[Selected Scenario]))</f>
        <v>6028690.9210490063</v>
      </c>
      <c r="BT33" s="29">
        <f>IF(BT$5="Actual",SUMIFS(tbl_model_feed_final[closing_deferred_revenue_gbp],tbl_model_feed_final[reporting_month_date],BT$4)/'02_Control'!$B$18,BT11*_xlfn.XLOOKUP("Deferred Revenue % of Billings",tbl_assumptions[Driver],tbl_assumptions[Selected Scenario]))</f>
        <v>6076920.4484173991</v>
      </c>
      <c r="BU33" s="29">
        <f>IF(BU$5="Actual",SUMIFS(tbl_model_feed_final[closing_deferred_revenue_gbp],tbl_model_feed_final[reporting_month_date],BU$4)/'02_Control'!$B$18,BU11*_xlfn.XLOOKUP("Deferred Revenue % of Billings",tbl_assumptions[Driver],tbl_assumptions[Selected Scenario]))</f>
        <v>6125535.8120047376</v>
      </c>
      <c r="BV33" s="29">
        <f>IF(BV$5="Actual",SUMIFS(tbl_model_feed_final[closing_deferred_revenue_gbp],tbl_model_feed_final[reporting_month_date],BV$4)/'02_Control'!$B$18,BV11*_xlfn.XLOOKUP("Deferred Revenue % of Billings",tbl_assumptions[Driver],tbl_assumptions[Selected Scenario]))</f>
        <v>6174540.0985007761</v>
      </c>
      <c r="BW33" s="29">
        <f>IF(BW$5="Actual",SUMIFS(tbl_model_feed_final[closing_deferred_revenue_gbp],tbl_model_feed_final[reporting_month_date],BW$4)/'02_Control'!$B$18,BW11*_xlfn.XLOOKUP("Deferred Revenue % of Billings",tbl_assumptions[Driver],tbl_assumptions[Selected Scenario]))</f>
        <v>6223936.4192887824</v>
      </c>
      <c r="BX33" s="29">
        <f>IF(BX$5="Actual",SUMIFS(tbl_model_feed_final[closing_deferred_revenue_gbp],tbl_model_feed_final[reporting_month_date],BX$4)/'02_Control'!$B$18,BX11*_xlfn.XLOOKUP("Deferred Revenue % of Billings",tbl_assumptions[Driver],tbl_assumptions[Selected Scenario]))</f>
        <v>6273727.9106430933</v>
      </c>
      <c r="BY33" s="29">
        <f>IF(BY$5="Actual",SUMIFS(tbl_model_feed_final[closing_deferred_revenue_gbp],tbl_model_feed_final[reporting_month_date],BY$4)/'02_Control'!$B$18,BY11*_xlfn.XLOOKUP("Deferred Revenue % of Billings",tbl_assumptions[Driver],tbl_assumptions[Selected Scenario]))</f>
        <v>6323917.7339282371</v>
      </c>
      <c r="BZ33" s="29">
        <f>IF(BZ$5="Actual",SUMIFS(tbl_model_feed_final[closing_deferred_revenue_gbp],tbl_model_feed_final[reporting_month_date],BZ$4)/'02_Control'!$B$18,BZ11*_xlfn.XLOOKUP("Deferred Revenue % of Billings",tbl_assumptions[Driver],tbl_assumptions[Selected Scenario]))</f>
        <v>6374509.0757996636</v>
      </c>
      <c r="CA33" s="29">
        <f>IF(CA$5="Actual",SUMIFS(tbl_model_feed_final[closing_deferred_revenue_gbp],tbl_model_feed_final[reporting_month_date],CA$4)/'02_Control'!$B$18,CA11*_xlfn.XLOOKUP("Deferred Revenue % of Billings",tbl_assumptions[Driver],tbl_assumptions[Selected Scenario]))</f>
        <v>6425505.1484060613</v>
      </c>
      <c r="CB33" s="29">
        <f>IF(CB$5="Actual",SUMIFS(tbl_model_feed_final[closing_deferred_revenue_gbp],tbl_model_feed_final[reporting_month_date],CB$4)/'02_Control'!$B$18,CB11*_xlfn.XLOOKUP("Deferred Revenue % of Billings",tbl_assumptions[Driver],tbl_assumptions[Selected Scenario]))</f>
        <v>6476909.1895933095</v>
      </c>
      <c r="CC33" s="29">
        <f>IF(CC$5="Actual",SUMIFS(tbl_model_feed_final[closing_deferred_revenue_gbp],tbl_model_feed_final[reporting_month_date],CC$4)/'02_Control'!$B$18,CC11*_xlfn.XLOOKUP("Deferred Revenue % of Billings",tbl_assumptions[Driver],tbl_assumptions[Selected Scenario]))</f>
        <v>6528724.4631100558</v>
      </c>
      <c r="CD33" s="29">
        <f>IF(CD$5="Actual",SUMIFS(tbl_model_feed_final[closing_deferred_revenue_gbp],tbl_model_feed_final[reporting_month_date],CD$4)/'02_Control'!$B$18,CD11*_xlfn.XLOOKUP("Deferred Revenue % of Billings",tbl_assumptions[Driver],tbl_assumptions[Selected Scenario]))</f>
        <v>6580954.2588149365</v>
      </c>
      <c r="CE33" s="29">
        <f>IF(CE$5="Actual",SUMIFS(tbl_model_feed_final[closing_deferred_revenue_gbp],tbl_model_feed_final[reporting_month_date],CE$4)/'02_Control'!$B$18,CE11*_xlfn.XLOOKUP("Deferred Revenue % of Billings",tbl_assumptions[Driver],tbl_assumptions[Selected Scenario]))</f>
        <v>6633601.8928854559</v>
      </c>
      <c r="CF33" s="29">
        <f>IF(CF$5="Actual",SUMIFS(tbl_model_feed_final[closing_deferred_revenue_gbp],tbl_model_feed_final[reporting_month_date],CF$4)/'02_Control'!$B$18,CF11*_xlfn.XLOOKUP("Deferred Revenue % of Billings",tbl_assumptions[Driver],tbl_assumptions[Selected Scenario]))</f>
        <v>6686670.70802854</v>
      </c>
      <c r="CG33" s="29">
        <f>IF(CG$5="Actual",SUMIFS(tbl_model_feed_final[closing_deferred_revenue_gbp],tbl_model_feed_final[reporting_month_date],CG$4)/'02_Control'!$B$18,CG11*_xlfn.XLOOKUP("Deferred Revenue % of Billings",tbl_assumptions[Driver],tbl_assumptions[Selected Scenario]))</f>
        <v>6740164.0736927679</v>
      </c>
    </row>
    <row r="34" spans="1:85" x14ac:dyDescent="0.3">
      <c r="A34" s="26" t="s">
        <v>141</v>
      </c>
      <c r="B34" s="27">
        <f>IF(B$5="Actual",SUMIFS(tbl_model_feed_final[supplier_cash_paid_gbp],tbl_model_feed_final[reporting_month_date],B$4)/'02_Control'!$B$18,"")</f>
        <v>2972.29</v>
      </c>
      <c r="C34" s="27">
        <f>IF(C$5="Actual",SUMIFS(tbl_model_feed_final[supplier_cash_paid_gbp],tbl_model_feed_final[reporting_month_date],C$4)/'02_Control'!$B$18,"")</f>
        <v>144978.51999999999</v>
      </c>
      <c r="D34" s="27">
        <f>IF(D$5="Actual",SUMIFS(tbl_model_feed_final[supplier_cash_paid_gbp],tbl_model_feed_final[reporting_month_date],D$4)/'02_Control'!$B$18,"")</f>
        <v>806474.41</v>
      </c>
      <c r="E34" s="27">
        <f>IF(E$5="Actual",SUMIFS(tbl_model_feed_final[supplier_cash_paid_gbp],tbl_model_feed_final[reporting_month_date],E$4)/'02_Control'!$B$18,"")</f>
        <v>446431.70000000007</v>
      </c>
      <c r="F34" s="27">
        <f>IF(F$5="Actual",SUMIFS(tbl_model_feed_final[supplier_cash_paid_gbp],tbl_model_feed_final[reporting_month_date],F$4)/'02_Control'!$B$18,"")</f>
        <v>642419.7699999999</v>
      </c>
      <c r="G34" s="27">
        <f>IF(G$5="Actual",SUMIFS(tbl_model_feed_final[supplier_cash_paid_gbp],tbl_model_feed_final[reporting_month_date],G$4)/'02_Control'!$B$18,"")</f>
        <v>500315.7</v>
      </c>
      <c r="H34" s="27">
        <f>IF(H$5="Actual",SUMIFS(tbl_model_feed_final[supplier_cash_paid_gbp],tbl_model_feed_final[reporting_month_date],H$4)/'02_Control'!$B$18,"")</f>
        <v>641704.78000000014</v>
      </c>
      <c r="I34" s="27">
        <f>IF(I$5="Actual",SUMIFS(tbl_model_feed_final[supplier_cash_paid_gbp],tbl_model_feed_final[reporting_month_date],I$4)/'02_Control'!$B$18,"")</f>
        <v>635031.86999999988</v>
      </c>
      <c r="J34" s="27">
        <f>IF(J$5="Actual",SUMIFS(tbl_model_feed_final[supplier_cash_paid_gbp],tbl_model_feed_final[reporting_month_date],J$4)/'02_Control'!$B$18,"")</f>
        <v>619227.96999999986</v>
      </c>
      <c r="K34" s="27">
        <f>IF(K$5="Actual",SUMIFS(tbl_model_feed_final[supplier_cash_paid_gbp],tbl_model_feed_final[reporting_month_date],K$4)/'02_Control'!$B$18,"")</f>
        <v>397281.73999999993</v>
      </c>
      <c r="L34" s="27">
        <f>IF(L$5="Actual",SUMIFS(tbl_model_feed_final[supplier_cash_paid_gbp],tbl_model_feed_final[reporting_month_date],L$4)/'02_Control'!$B$18,"")</f>
        <v>544597.97999999986</v>
      </c>
      <c r="M34" s="27">
        <f>IF(M$5="Actual",SUMIFS(tbl_model_feed_final[supplier_cash_paid_gbp],tbl_model_feed_final[reporting_month_date],M$4)/'02_Control'!$B$18,"")</f>
        <v>654590.80999999994</v>
      </c>
      <c r="N34" s="27">
        <f>IF(N$5="Actual",SUMIFS(tbl_model_feed_final[supplier_cash_paid_gbp],tbl_model_feed_final[reporting_month_date],N$4)/'02_Control'!$B$18,"")</f>
        <v>409944.6</v>
      </c>
      <c r="O34" s="27">
        <f>IF(O$5="Actual",SUMIFS(tbl_model_feed_final[supplier_cash_paid_gbp],tbl_model_feed_final[reporting_month_date],O$4)/'02_Control'!$B$18,"")</f>
        <v>323431.84000000003</v>
      </c>
      <c r="P34" s="27">
        <f>IF(P$5="Actual",SUMIFS(tbl_model_feed_final[supplier_cash_paid_gbp],tbl_model_feed_final[reporting_month_date],P$4)/'02_Control'!$B$18,"")</f>
        <v>625252.68000000005</v>
      </c>
      <c r="Q34" s="27">
        <f>IF(Q$5="Actual",SUMIFS(tbl_model_feed_final[supplier_cash_paid_gbp],tbl_model_feed_final[reporting_month_date],Q$4)/'02_Control'!$B$18,"")</f>
        <v>618522.24</v>
      </c>
      <c r="R34" s="27">
        <f>IF(R$5="Actual",SUMIFS(tbl_model_feed_final[supplier_cash_paid_gbp],tbl_model_feed_final[reporting_month_date],R$4)/'02_Control'!$B$18,"")</f>
        <v>396039.98999999993</v>
      </c>
      <c r="S34" s="27">
        <f>IF(S$5="Actual",SUMIFS(tbl_model_feed_final[supplier_cash_paid_gbp],tbl_model_feed_final[reporting_month_date],S$4)/'02_Control'!$B$18,"")</f>
        <v>523242.62</v>
      </c>
      <c r="T34" s="27">
        <f>IF(T$5="Actual",SUMIFS(tbl_model_feed_final[supplier_cash_paid_gbp],tbl_model_feed_final[reporting_month_date],T$4)/'02_Control'!$B$18,"")</f>
        <v>531440.17000000004</v>
      </c>
      <c r="U34" s="27">
        <f>IF(U$5="Actual",SUMIFS(tbl_model_feed_final[supplier_cash_paid_gbp],tbl_model_feed_final[reporting_month_date],U$4)/'02_Control'!$B$18,"")</f>
        <v>363636.43</v>
      </c>
      <c r="V34" s="27">
        <f>IF(V$5="Actual",SUMIFS(tbl_model_feed_final[supplier_cash_paid_gbp],tbl_model_feed_final[reporting_month_date],V$4)/'02_Control'!$B$18,"")</f>
        <v>433237.94000000006</v>
      </c>
      <c r="W34" s="27">
        <f>IF(W$5="Actual",SUMIFS(tbl_model_feed_final[supplier_cash_paid_gbp],tbl_model_feed_final[reporting_month_date],W$4)/'02_Control'!$B$18,"")</f>
        <v>572155.3600000001</v>
      </c>
      <c r="X34" s="27">
        <f>IF(X$5="Actual",SUMIFS(tbl_model_feed_final[supplier_cash_paid_gbp],tbl_model_feed_final[reporting_month_date],X$4)/'02_Control'!$B$18,"")</f>
        <v>489690.52999999997</v>
      </c>
      <c r="Y34" s="27">
        <f>IF(Y$5="Actual",SUMIFS(tbl_model_feed_final[supplier_cash_paid_gbp],tbl_model_feed_final[reporting_month_date],Y$4)/'02_Control'!$B$18,"")</f>
        <v>502100.68</v>
      </c>
      <c r="Z34" s="27">
        <f>IF(Z$5="Actual",SUMIFS(tbl_model_feed_final[supplier_cash_paid_gbp],tbl_model_feed_final[reporting_month_date],Z$4)/'02_Control'!$B$18,"")</f>
        <v>776723.52</v>
      </c>
      <c r="AA34" s="27">
        <f>IF(AA$5="Actual",SUMIFS(tbl_model_feed_final[supplier_cash_paid_gbp],tbl_model_feed_final[reporting_month_date],AA$4)/'02_Control'!$B$18,"")</f>
        <v>370720.92999999993</v>
      </c>
      <c r="AB34" s="27">
        <f>IF(AB$5="Actual",SUMIFS(tbl_model_feed_final[supplier_cash_paid_gbp],tbl_model_feed_final[reporting_month_date],AB$4)/'02_Control'!$B$18,"")</f>
        <v>576205.5299999998</v>
      </c>
      <c r="AC34" s="27">
        <f>IF(AC$5="Actual",SUMIFS(tbl_model_feed_final[supplier_cash_paid_gbp],tbl_model_feed_final[reporting_month_date],AC$4)/'02_Control'!$B$18,"")</f>
        <v>454771.6999999999</v>
      </c>
      <c r="AD34" s="27">
        <f>IF(AD$5="Actual",SUMIFS(tbl_model_feed_final[supplier_cash_paid_gbp],tbl_model_feed_final[reporting_month_date],AD$4)/'02_Control'!$B$18,"")</f>
        <v>506104.71</v>
      </c>
      <c r="AE34" s="27">
        <f>IF(AE$5="Actual",SUMIFS(tbl_model_feed_final[supplier_cash_paid_gbp],tbl_model_feed_final[reporting_month_date],AE$4)/'02_Control'!$B$18,"")</f>
        <v>533035.49</v>
      </c>
      <c r="AF34" s="27">
        <f>IF(AF$5="Actual",SUMIFS(tbl_model_feed_final[supplier_cash_paid_gbp],tbl_model_feed_final[reporting_month_date],AF$4)/'02_Control'!$B$18,"")</f>
        <v>772095.82000000007</v>
      </c>
      <c r="AG34" s="27">
        <f>IF(AG$5="Actual",SUMIFS(tbl_model_feed_final[supplier_cash_paid_gbp],tbl_model_feed_final[reporting_month_date],AG$4)/'02_Control'!$B$18,"")</f>
        <v>440051.35000000003</v>
      </c>
      <c r="AH34" s="27">
        <f>IF(AH$5="Actual",SUMIFS(tbl_model_feed_final[supplier_cash_paid_gbp],tbl_model_feed_final[reporting_month_date],AH$4)/'02_Control'!$B$18,"")</f>
        <v>494285.4</v>
      </c>
      <c r="AI34" s="27">
        <f>IF(AI$5="Actual",SUMIFS(tbl_model_feed_final[supplier_cash_paid_gbp],tbl_model_feed_final[reporting_month_date],AI$4)/'02_Control'!$B$18,"")</f>
        <v>873193.50000000012</v>
      </c>
      <c r="AJ34" s="27">
        <f>IF(AJ$5="Actual",SUMIFS(tbl_model_feed_final[supplier_cash_paid_gbp],tbl_model_feed_final[reporting_month_date],AJ$4)/'02_Control'!$B$18,"")</f>
        <v>434388.63</v>
      </c>
      <c r="AK34" s="27">
        <f>IF(AK$5="Actual",SUMIFS(tbl_model_feed_final[supplier_cash_paid_gbp],tbl_model_feed_final[reporting_month_date],AK$4)/'02_Control'!$B$18,"")</f>
        <v>522809.90999999992</v>
      </c>
      <c r="AL34" s="27">
        <f>IF(AL$5="Actual",SUMIFS(tbl_model_feed_final[supplier_cash_paid_gbp],tbl_model_feed_final[reporting_month_date],AL$4)/'02_Control'!$B$18,"")</f>
        <v>782430.04999999981</v>
      </c>
      <c r="AM34" s="27">
        <f>IF(AM$5="Actual",SUMIFS(tbl_model_feed_final[supplier_cash_paid_gbp],tbl_model_feed_final[reporting_month_date],AM$4)/'02_Control'!$B$18,"")</f>
        <v>531375.06999999995</v>
      </c>
      <c r="AN34" s="27">
        <f>IF(AN$5="Actual",SUMIFS(tbl_model_feed_final[supplier_cash_paid_gbp],tbl_model_feed_final[reporting_month_date],AN$4)/'02_Control'!$B$18,"")</f>
        <v>688785.7899999998</v>
      </c>
      <c r="AO34" s="27">
        <f>IF(AO$5="Actual",SUMIFS(tbl_model_feed_final[supplier_cash_paid_gbp],tbl_model_feed_final[reporting_month_date],AO$4)/'02_Control'!$B$18,"")</f>
        <v>670024.62999999989</v>
      </c>
      <c r="AP34" s="27">
        <f>IF(AP$5="Actual",SUMIFS(tbl_model_feed_final[supplier_cash_paid_gbp],tbl_model_feed_final[reporting_month_date],AP$4)/'02_Control'!$B$18,"")</f>
        <v>719013.4</v>
      </c>
      <c r="AQ34" s="28">
        <f>IF(AQ$5="Actual",SUMIFS(tbl_model_feed_final[supplier_cash_paid_gbp],tbl_model_feed_final[reporting_month_date],AQ$4)/'02_Control'!$B$18,"")</f>
        <v>75311.75</v>
      </c>
      <c r="AR34" s="27">
        <f>IF(AR$5="Actual",SUMIFS(tbl_model_feed_final[supplier_cash_paid_gbp],tbl_model_feed_final[reporting_month_date],AR$4)/'02_Control'!$B$18,AR20*_xlfn.XLOOKUP("Supplier Payment % of AP Spend",tbl_assumptions[Driver],tbl_assumptions[Selected Scenario]))</f>
        <v>66636.977400000003</v>
      </c>
      <c r="AS34" s="27">
        <f>IF(AS$5="Actual",SUMIFS(tbl_model_feed_final[supplier_cash_paid_gbp],tbl_model_feed_final[reporting_month_date],AS$4)/'02_Control'!$B$18,AS20*_xlfn.XLOOKUP("Supplier Payment % of AP Spend",tbl_assumptions[Driver],tbl_assumptions[Selected Scenario]))</f>
        <v>67170.0732192</v>
      </c>
      <c r="AT34" s="27">
        <f>IF(AT$5="Actual",SUMIFS(tbl_model_feed_final[supplier_cash_paid_gbp],tbl_model_feed_final[reporting_month_date],AT$4)/'02_Control'!$B$18,AT20*_xlfn.XLOOKUP("Supplier Payment % of AP Spend",tbl_assumptions[Driver],tbl_assumptions[Selected Scenario]))</f>
        <v>67707.433804953602</v>
      </c>
      <c r="AU34" s="27">
        <f>IF(AU$5="Actual",SUMIFS(tbl_model_feed_final[supplier_cash_paid_gbp],tbl_model_feed_final[reporting_month_date],AU$4)/'02_Control'!$B$18,AU20*_xlfn.XLOOKUP("Supplier Payment % of AP Spend",tbl_assumptions[Driver],tbl_assumptions[Selected Scenario]))</f>
        <v>68249.093275393228</v>
      </c>
      <c r="AV34" s="27">
        <f>IF(AV$5="Actual",SUMIFS(tbl_model_feed_final[supplier_cash_paid_gbp],tbl_model_feed_final[reporting_month_date],AV$4)/'02_Control'!$B$18,AV20*_xlfn.XLOOKUP("Supplier Payment % of AP Spend",tbl_assumptions[Driver],tbl_assumptions[Selected Scenario]))</f>
        <v>68795.086021596377</v>
      </c>
      <c r="AW34" s="27">
        <f>IF(AW$5="Actual",SUMIFS(tbl_model_feed_final[supplier_cash_paid_gbp],tbl_model_feed_final[reporting_month_date],AW$4)/'02_Control'!$B$18,AW20*_xlfn.XLOOKUP("Supplier Payment % of AP Spend",tbl_assumptions[Driver],tbl_assumptions[Selected Scenario]))</f>
        <v>69345.446709769152</v>
      </c>
      <c r="AX34" s="27">
        <f>IF(AX$5="Actual",SUMIFS(tbl_model_feed_final[supplier_cash_paid_gbp],tbl_model_feed_final[reporting_month_date],AX$4)/'02_Control'!$B$18,AX20*_xlfn.XLOOKUP("Supplier Payment % of AP Spend",tbl_assumptions[Driver],tbl_assumptions[Selected Scenario]))</f>
        <v>69900.210283447304</v>
      </c>
      <c r="AY34" s="27">
        <f>IF(AY$5="Actual",SUMIFS(tbl_model_feed_final[supplier_cash_paid_gbp],tbl_model_feed_final[reporting_month_date],AY$4)/'02_Control'!$B$18,AY20*_xlfn.XLOOKUP("Supplier Payment % of AP Spend",tbl_assumptions[Driver],tbl_assumptions[Selected Scenario]))</f>
        <v>70459.411965714869</v>
      </c>
      <c r="AZ34" s="27">
        <f>IF(AZ$5="Actual",SUMIFS(tbl_model_feed_final[supplier_cash_paid_gbp],tbl_model_feed_final[reporting_month_date],AZ$4)/'02_Control'!$B$18,AZ20*_xlfn.XLOOKUP("Supplier Payment % of AP Spend",tbl_assumptions[Driver],tbl_assumptions[Selected Scenario]))</f>
        <v>71023.087261440596</v>
      </c>
      <c r="BA34" s="27">
        <f>IF(BA$5="Actual",SUMIFS(tbl_model_feed_final[supplier_cash_paid_gbp],tbl_model_feed_final[reporting_month_date],BA$4)/'02_Control'!$B$18,BA20*_xlfn.XLOOKUP("Supplier Payment % of AP Spend",tbl_assumptions[Driver],tbl_assumptions[Selected Scenario]))</f>
        <v>71591.271959532125</v>
      </c>
      <c r="BB34" s="27">
        <f>IF(BB$5="Actual",SUMIFS(tbl_model_feed_final[supplier_cash_paid_gbp],tbl_model_feed_final[reporting_month_date],BB$4)/'02_Control'!$B$18,BB20*_xlfn.XLOOKUP("Supplier Payment % of AP Spend",tbl_assumptions[Driver],tbl_assumptions[Selected Scenario]))</f>
        <v>72164.002135208371</v>
      </c>
      <c r="BC34" s="27">
        <f>IF(BC$5="Actual",SUMIFS(tbl_model_feed_final[supplier_cash_paid_gbp],tbl_model_feed_final[reporting_month_date],BC$4)/'02_Control'!$B$18,BC20*_xlfn.XLOOKUP("Supplier Payment % of AP Spend",tbl_assumptions[Driver],tbl_assumptions[Selected Scenario]))</f>
        <v>72741.314152290055</v>
      </c>
      <c r="BD34" s="27">
        <f>IF(BD$5="Actual",SUMIFS(tbl_model_feed_final[supplier_cash_paid_gbp],tbl_model_feed_final[reporting_month_date],BD$4)/'02_Control'!$B$18,BD20*_xlfn.XLOOKUP("Supplier Payment % of AP Spend",tbl_assumptions[Driver],tbl_assumptions[Selected Scenario]))</f>
        <v>73323.244665508377</v>
      </c>
      <c r="BE34" s="27">
        <f>IF(BE$5="Actual",SUMIFS(tbl_model_feed_final[supplier_cash_paid_gbp],tbl_model_feed_final[reporting_month_date],BE$4)/'02_Control'!$B$18,BE20*_xlfn.XLOOKUP("Supplier Payment % of AP Spend",tbl_assumptions[Driver],tbl_assumptions[Selected Scenario]))</f>
        <v>73909.830622832436</v>
      </c>
      <c r="BF34" s="27">
        <f>IF(BF$5="Actual",SUMIFS(tbl_model_feed_final[supplier_cash_paid_gbp],tbl_model_feed_final[reporting_month_date],BF$4)/'02_Control'!$B$18,BF20*_xlfn.XLOOKUP("Supplier Payment % of AP Spend",tbl_assumptions[Driver],tbl_assumptions[Selected Scenario]))</f>
        <v>74501.109267815104</v>
      </c>
      <c r="BG34" s="27">
        <f>IF(BG$5="Actual",SUMIFS(tbl_model_feed_final[supplier_cash_paid_gbp],tbl_model_feed_final[reporting_month_date],BG$4)/'02_Control'!$B$18,BG20*_xlfn.XLOOKUP("Supplier Payment % of AP Spend",tbl_assumptions[Driver],tbl_assumptions[Selected Scenario]))</f>
        <v>75097.118141957617</v>
      </c>
      <c r="BH34" s="27">
        <f>IF(BH$5="Actual",SUMIFS(tbl_model_feed_final[supplier_cash_paid_gbp],tbl_model_feed_final[reporting_month_date],BH$4)/'02_Control'!$B$18,BH20*_xlfn.XLOOKUP("Supplier Payment % of AP Spend",tbl_assumptions[Driver],tbl_assumptions[Selected Scenario]))</f>
        <v>75697.895087093289</v>
      </c>
      <c r="BI34" s="27">
        <f>IF(BI$5="Actual",SUMIFS(tbl_model_feed_final[supplier_cash_paid_gbp],tbl_model_feed_final[reporting_month_date],BI$4)/'02_Control'!$B$18,BI20*_xlfn.XLOOKUP("Supplier Payment % of AP Spend",tbl_assumptions[Driver],tbl_assumptions[Selected Scenario]))</f>
        <v>76303.47824779003</v>
      </c>
      <c r="BJ34" s="27">
        <f>IF(BJ$5="Actual",SUMIFS(tbl_model_feed_final[supplier_cash_paid_gbp],tbl_model_feed_final[reporting_month_date],BJ$4)/'02_Control'!$B$18,BJ20*_xlfn.XLOOKUP("Supplier Payment % of AP Spend",tbl_assumptions[Driver],tbl_assumptions[Selected Scenario]))</f>
        <v>76913.906073772348</v>
      </c>
      <c r="BK34" s="27">
        <f>IF(BK$5="Actual",SUMIFS(tbl_model_feed_final[supplier_cash_paid_gbp],tbl_model_feed_final[reporting_month_date],BK$4)/'02_Control'!$B$18,BK20*_xlfn.XLOOKUP("Supplier Payment % of AP Spend",tbl_assumptions[Driver],tbl_assumptions[Selected Scenario]))</f>
        <v>77529.217322362529</v>
      </c>
      <c r="BL34" s="27">
        <f>IF(BL$5="Actual",SUMIFS(tbl_model_feed_final[supplier_cash_paid_gbp],tbl_model_feed_final[reporting_month_date],BL$4)/'02_Control'!$B$18,BL20*_xlfn.XLOOKUP("Supplier Payment % of AP Spend",tbl_assumptions[Driver],tbl_assumptions[Selected Scenario]))</f>
        <v>78149.451060941428</v>
      </c>
      <c r="BM34" s="27">
        <f>IF(BM$5="Actual",SUMIFS(tbl_model_feed_final[supplier_cash_paid_gbp],tbl_model_feed_final[reporting_month_date],BM$4)/'02_Control'!$B$18,BM20*_xlfn.XLOOKUP("Supplier Payment % of AP Spend",tbl_assumptions[Driver],tbl_assumptions[Selected Scenario]))</f>
        <v>78774.64666942897</v>
      </c>
      <c r="BN34" s="27">
        <f>IF(BN$5="Actual",SUMIFS(tbl_model_feed_final[supplier_cash_paid_gbp],tbl_model_feed_final[reporting_month_date],BN$4)/'02_Control'!$B$18,BN20*_xlfn.XLOOKUP("Supplier Payment % of AP Spend",tbl_assumptions[Driver],tbl_assumptions[Selected Scenario]))</f>
        <v>79404.843842784394</v>
      </c>
      <c r="BO34" s="27">
        <f>IF(BO$5="Actual",SUMIFS(tbl_model_feed_final[supplier_cash_paid_gbp],tbl_model_feed_final[reporting_month_date],BO$4)/'02_Control'!$B$18,BO20*_xlfn.XLOOKUP("Supplier Payment % of AP Spend",tbl_assumptions[Driver],tbl_assumptions[Selected Scenario]))</f>
        <v>80040.082593526677</v>
      </c>
      <c r="BP34" s="27">
        <f>IF(BP$5="Actual",SUMIFS(tbl_model_feed_final[supplier_cash_paid_gbp],tbl_model_feed_final[reporting_month_date],BP$4)/'02_Control'!$B$18,BP20*_xlfn.XLOOKUP("Supplier Payment % of AP Spend",tbl_assumptions[Driver],tbl_assumptions[Selected Scenario]))</f>
        <v>80680.40325427489</v>
      </c>
      <c r="BQ34" s="27">
        <f>IF(BQ$5="Actual",SUMIFS(tbl_model_feed_final[supplier_cash_paid_gbp],tbl_model_feed_final[reporting_month_date],BQ$4)/'02_Control'!$B$18,BQ20*_xlfn.XLOOKUP("Supplier Payment % of AP Spend",tbl_assumptions[Driver],tbl_assumptions[Selected Scenario]))</f>
        <v>81325.84648030909</v>
      </c>
      <c r="BR34" s="27">
        <f>IF(BR$5="Actual",SUMIFS(tbl_model_feed_final[supplier_cash_paid_gbp],tbl_model_feed_final[reporting_month_date],BR$4)/'02_Control'!$B$18,BR20*_xlfn.XLOOKUP("Supplier Payment % of AP Spend",tbl_assumptions[Driver],tbl_assumptions[Selected Scenario]))</f>
        <v>81976.453252151565</v>
      </c>
      <c r="BS34" s="27">
        <f>IF(BS$5="Actual",SUMIFS(tbl_model_feed_final[supplier_cash_paid_gbp],tbl_model_feed_final[reporting_month_date],BS$4)/'02_Control'!$B$18,BS20*_xlfn.XLOOKUP("Supplier Payment % of AP Spend",tbl_assumptions[Driver],tbl_assumptions[Selected Scenario]))</f>
        <v>82632.264878168775</v>
      </c>
      <c r="BT34" s="27">
        <f>IF(BT$5="Actual",SUMIFS(tbl_model_feed_final[supplier_cash_paid_gbp],tbl_model_feed_final[reporting_month_date],BT$4)/'02_Control'!$B$18,BT20*_xlfn.XLOOKUP("Supplier Payment % of AP Spend",tbl_assumptions[Driver],tbl_assumptions[Selected Scenario]))</f>
        <v>83293.322997194118</v>
      </c>
      <c r="BU34" s="27">
        <f>IF(BU$5="Actual",SUMIFS(tbl_model_feed_final[supplier_cash_paid_gbp],tbl_model_feed_final[reporting_month_date],BU$4)/'02_Control'!$B$18,BU20*_xlfn.XLOOKUP("Supplier Payment % of AP Spend",tbl_assumptions[Driver],tbl_assumptions[Selected Scenario]))</f>
        <v>83959.669581171678</v>
      </c>
      <c r="BV34" s="27">
        <f>IF(BV$5="Actual",SUMIFS(tbl_model_feed_final[supplier_cash_paid_gbp],tbl_model_feed_final[reporting_month_date],BV$4)/'02_Control'!$B$18,BV20*_xlfn.XLOOKUP("Supplier Payment % of AP Spend",tbl_assumptions[Driver],tbl_assumptions[Selected Scenario]))</f>
        <v>84631.346937821043</v>
      </c>
      <c r="BW34" s="27">
        <f>IF(BW$5="Actual",SUMIFS(tbl_model_feed_final[supplier_cash_paid_gbp],tbl_model_feed_final[reporting_month_date],BW$4)/'02_Control'!$B$18,BW20*_xlfn.XLOOKUP("Supplier Payment % of AP Spend",tbl_assumptions[Driver],tbl_assumptions[Selected Scenario]))</f>
        <v>85308.397713323619</v>
      </c>
      <c r="BX34" s="27">
        <f>IF(BX$5="Actual",SUMIFS(tbl_model_feed_final[supplier_cash_paid_gbp],tbl_model_feed_final[reporting_month_date],BX$4)/'02_Control'!$B$18,BX20*_xlfn.XLOOKUP("Supplier Payment % of AP Spend",tbl_assumptions[Driver],tbl_assumptions[Selected Scenario]))</f>
        <v>85990.864895030201</v>
      </c>
      <c r="BY34" s="27">
        <f>IF(BY$5="Actual",SUMIFS(tbl_model_feed_final[supplier_cash_paid_gbp],tbl_model_feed_final[reporting_month_date],BY$4)/'02_Control'!$B$18,BY20*_xlfn.XLOOKUP("Supplier Payment % of AP Spend",tbl_assumptions[Driver],tbl_assumptions[Selected Scenario]))</f>
        <v>86678.791814190452</v>
      </c>
      <c r="BZ34" s="27">
        <f>IF(BZ$5="Actual",SUMIFS(tbl_model_feed_final[supplier_cash_paid_gbp],tbl_model_feed_final[reporting_month_date],BZ$4)/'02_Control'!$B$18,BZ20*_xlfn.XLOOKUP("Supplier Payment % of AP Spend",tbl_assumptions[Driver],tbl_assumptions[Selected Scenario]))</f>
        <v>87372.222148703964</v>
      </c>
      <c r="CA34" s="27">
        <f>IF(CA$5="Actual",SUMIFS(tbl_model_feed_final[supplier_cash_paid_gbp],tbl_model_feed_final[reporting_month_date],CA$4)/'02_Control'!$B$18,CA20*_xlfn.XLOOKUP("Supplier Payment % of AP Spend",tbl_assumptions[Driver],tbl_assumptions[Selected Scenario]))</f>
        <v>88071.199925893598</v>
      </c>
      <c r="CB34" s="27">
        <f>IF(CB$5="Actual",SUMIFS(tbl_model_feed_final[supplier_cash_paid_gbp],tbl_model_feed_final[reporting_month_date],CB$4)/'02_Control'!$B$18,CB20*_xlfn.XLOOKUP("Supplier Payment % of AP Spend",tbl_assumptions[Driver],tbl_assumptions[Selected Scenario]))</f>
        <v>88775.76952530074</v>
      </c>
      <c r="CC34" s="27">
        <f>IF(CC$5="Actual",SUMIFS(tbl_model_feed_final[supplier_cash_paid_gbp],tbl_model_feed_final[reporting_month_date],CC$4)/'02_Control'!$B$18,CC20*_xlfn.XLOOKUP("Supplier Payment % of AP Spend",tbl_assumptions[Driver],tbl_assumptions[Selected Scenario]))</f>
        <v>89485.975681503158</v>
      </c>
      <c r="CD34" s="27">
        <f>IF(CD$5="Actual",SUMIFS(tbl_model_feed_final[supplier_cash_paid_gbp],tbl_model_feed_final[reporting_month_date],CD$4)/'02_Control'!$B$18,CD20*_xlfn.XLOOKUP("Supplier Payment % of AP Spend",tbl_assumptions[Driver],tbl_assumptions[Selected Scenario]))</f>
        <v>90201.863486955175</v>
      </c>
      <c r="CE34" s="27">
        <f>IF(CE$5="Actual",SUMIFS(tbl_model_feed_final[supplier_cash_paid_gbp],tbl_model_feed_final[reporting_month_date],CE$4)/'02_Control'!$B$18,CE20*_xlfn.XLOOKUP("Supplier Payment % of AP Spend",tbl_assumptions[Driver],tbl_assumptions[Selected Scenario]))</f>
        <v>90923.478394850827</v>
      </c>
      <c r="CF34" s="27">
        <f>IF(CF$5="Actual",SUMIFS(tbl_model_feed_final[supplier_cash_paid_gbp],tbl_model_feed_final[reporting_month_date],CF$4)/'02_Control'!$B$18,CF20*_xlfn.XLOOKUP("Supplier Payment % of AP Spend",tbl_assumptions[Driver],tbl_assumptions[Selected Scenario]))</f>
        <v>91650.86622200963</v>
      </c>
      <c r="CG34" s="27">
        <f>IF(CG$5="Actual",SUMIFS(tbl_model_feed_final[supplier_cash_paid_gbp],tbl_model_feed_final[reporting_month_date],CG$4)/'02_Control'!$B$18,CG20*_xlfn.XLOOKUP("Supplier Payment % of AP Spend",tbl_assumptions[Driver],tbl_assumptions[Selected Scenario]))</f>
        <v>92384.073151785706</v>
      </c>
    </row>
  </sheetData>
  <mergeCells count="2">
    <mergeCell ref="A1:CG1"/>
    <mergeCell ref="A2:CG2"/>
  </mergeCells>
  <conditionalFormatting sqref="A5:XFD5">
    <cfRule type="expression" dxfId="148" priority="1">
      <formula>A5="Forecast"</formula>
    </cfRule>
    <cfRule type="expression" dxfId="147" priority="2">
      <formula>A5="Actual"</formula>
    </cfRule>
  </conditionalFormatting>
  <conditionalFormatting sqref="B1:CG1048576">
    <cfRule type="cellIs" dxfId="146" priority="3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3030-48BD-4F04-A848-56184E5541CE}">
  <dimension ref="A1:W25"/>
  <sheetViews>
    <sheetView showGridLines="0" topLeftCell="A5" workbookViewId="0">
      <selection activeCell="G28" sqref="G28"/>
    </sheetView>
  </sheetViews>
  <sheetFormatPr defaultRowHeight="14.4" x14ac:dyDescent="0.3"/>
  <cols>
    <col min="1" max="1" width="26.6640625" customWidth="1"/>
    <col min="2" max="2" width="40.5546875" bestFit="1" customWidth="1"/>
    <col min="3" max="3" width="13.6640625" bestFit="1" customWidth="1"/>
    <col min="4" max="5" width="13.5546875" bestFit="1" customWidth="1"/>
    <col min="6" max="6" width="18.77734375" customWidth="1"/>
    <col min="7" max="7" width="56.33203125" bestFit="1" customWidth="1"/>
  </cols>
  <sheetData>
    <row r="1" spans="1:23" s="8" customFormat="1" ht="23.4" x14ac:dyDescent="0.45">
      <c r="A1" s="206" t="s">
        <v>218</v>
      </c>
      <c r="B1" s="206"/>
      <c r="C1" s="207"/>
      <c r="D1" s="207"/>
      <c r="E1" s="207"/>
      <c r="F1" s="207"/>
      <c r="G1" s="75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</row>
    <row r="2" spans="1:23" s="8" customFormat="1" ht="23.4" x14ac:dyDescent="0.45">
      <c r="A2" s="206"/>
      <c r="B2" s="206"/>
      <c r="C2" s="207"/>
      <c r="D2" s="207"/>
      <c r="E2" s="207"/>
      <c r="F2" s="207"/>
      <c r="G2" s="75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</row>
    <row r="3" spans="1:23" s="11" customFormat="1" x14ac:dyDescent="0.3">
      <c r="A3" s="125" t="str">
        <f>CONCATENATE("Scenario selected"," = ", '02_Control'!$B$14)</f>
        <v>Scenario selected = Base</v>
      </c>
      <c r="B3" s="126"/>
      <c r="C3" s="126"/>
      <c r="D3" s="126"/>
      <c r="E3" s="126"/>
      <c r="F3" s="126"/>
      <c r="G3" s="126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</row>
    <row r="4" spans="1:23" ht="15.6" x14ac:dyDescent="0.3">
      <c r="A4" s="97"/>
      <c r="B4" s="185"/>
      <c r="C4" s="186"/>
      <c r="D4" s="186"/>
      <c r="E4" s="186"/>
      <c r="F4" s="18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</row>
    <row r="5" spans="1:23" s="9" customFormat="1" ht="30" customHeight="1" x14ac:dyDescent="0.3">
      <c r="A5" s="208" t="s">
        <v>239</v>
      </c>
      <c r="B5" s="209" t="s">
        <v>207</v>
      </c>
      <c r="C5" s="208" t="s">
        <v>46</v>
      </c>
      <c r="D5" s="208" t="s">
        <v>17</v>
      </c>
      <c r="E5" s="208" t="s">
        <v>44</v>
      </c>
      <c r="F5" s="208" t="s">
        <v>208</v>
      </c>
      <c r="G5" s="68" t="s">
        <v>224</v>
      </c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</row>
    <row r="6" spans="1:23" x14ac:dyDescent="0.3">
      <c r="A6" s="69" t="s">
        <v>219</v>
      </c>
      <c r="B6" s="70" t="s">
        <v>209</v>
      </c>
      <c r="C6" s="71">
        <v>5.0000000000000001E-3</v>
      </c>
      <c r="D6" s="71">
        <v>0.01</v>
      </c>
      <c r="E6" s="71">
        <v>1.4999999999999999E-2</v>
      </c>
      <c r="F6" s="72">
        <f>CHOOSE(MATCH('02_Control'!$B$14,{"Downside","Base","Upside"},0),C6,D6,E6)</f>
        <v>0.01</v>
      </c>
      <c r="G6" s="73" t="s">
        <v>225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</row>
    <row r="7" spans="1:23" x14ac:dyDescent="0.3">
      <c r="A7" s="69" t="s">
        <v>219</v>
      </c>
      <c r="B7" s="70" t="s">
        <v>210</v>
      </c>
      <c r="C7" s="71">
        <v>3.0000000000000001E-3</v>
      </c>
      <c r="D7" s="71">
        <v>8.0000000000000002E-3</v>
      </c>
      <c r="E7" s="71">
        <v>1.2999999999999999E-2</v>
      </c>
      <c r="F7" s="72">
        <f>CHOOSE(MATCH('02_Control'!$B$14,{"Downside","Base","Upside"},0),C7,D7,E7)</f>
        <v>8.0000000000000002E-3</v>
      </c>
      <c r="G7" s="73" t="s">
        <v>226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</row>
    <row r="8" spans="1:23" x14ac:dyDescent="0.3">
      <c r="A8" s="69" t="s">
        <v>219</v>
      </c>
      <c r="B8" s="70" t="s">
        <v>211</v>
      </c>
      <c r="C8" s="71">
        <v>4.0000000000000001E-3</v>
      </c>
      <c r="D8" s="71">
        <v>8.9999999999999993E-3</v>
      </c>
      <c r="E8" s="71">
        <v>1.4E-2</v>
      </c>
      <c r="F8" s="72">
        <f>CHOOSE(MATCH('02_Control'!$B$14,{"Downside","Base","Upside"},0),C8,D8,E8)</f>
        <v>8.9999999999999993E-3</v>
      </c>
      <c r="G8" s="73" t="s">
        <v>227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</row>
    <row r="9" spans="1:23" x14ac:dyDescent="0.3">
      <c r="A9" s="69" t="s">
        <v>219</v>
      </c>
      <c r="B9" s="70" t="s">
        <v>131</v>
      </c>
      <c r="C9" s="71">
        <v>0.88</v>
      </c>
      <c r="D9" s="71">
        <v>0.91</v>
      </c>
      <c r="E9" s="71">
        <v>0.94</v>
      </c>
      <c r="F9" s="72">
        <f>CHOOSE(MATCH('02_Control'!$B$14,{"Downside","Base","Upside"},0),C9,D9,E9)</f>
        <v>0.91</v>
      </c>
      <c r="G9" s="73" t="s">
        <v>228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</row>
    <row r="10" spans="1:23" x14ac:dyDescent="0.3">
      <c r="A10" s="69" t="s">
        <v>219</v>
      </c>
      <c r="B10" s="70" t="s">
        <v>132</v>
      </c>
      <c r="C10" s="71">
        <v>0.98</v>
      </c>
      <c r="D10" s="71">
        <v>1.04</v>
      </c>
      <c r="E10" s="71">
        <v>1.1000000000000001</v>
      </c>
      <c r="F10" s="72">
        <f>CHOOSE(MATCH('02_Control'!$B$14,{"Downside","Base","Upside"},0),C10,D10,E10)</f>
        <v>1.04</v>
      </c>
      <c r="G10" s="73" t="s">
        <v>229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</row>
    <row r="11" spans="1:23" x14ac:dyDescent="0.3">
      <c r="A11" s="69" t="s">
        <v>219</v>
      </c>
      <c r="B11" s="70" t="s">
        <v>133</v>
      </c>
      <c r="C11" s="71">
        <v>2.5000000000000001E-2</v>
      </c>
      <c r="D11" s="71">
        <v>1.7999999999999999E-2</v>
      </c>
      <c r="E11" s="71">
        <v>1.2E-2</v>
      </c>
      <c r="F11" s="72">
        <f>CHOOSE(MATCH('02_Control'!$B$14,{"Downside","Base","Upside"},0),C11,D11,E11)</f>
        <v>1.7999999999999999E-2</v>
      </c>
      <c r="G11" s="73" t="s">
        <v>230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</row>
    <row r="12" spans="1:23" x14ac:dyDescent="0.3">
      <c r="A12" s="74" t="s">
        <v>220</v>
      </c>
      <c r="B12" s="70" t="s">
        <v>212</v>
      </c>
      <c r="C12" s="71">
        <v>8.0000000000000002E-3</v>
      </c>
      <c r="D12" s="71">
        <v>0.01</v>
      </c>
      <c r="E12" s="71">
        <v>1.2999999999999999E-2</v>
      </c>
      <c r="F12" s="72">
        <f>CHOOSE(MATCH('02_Control'!$B$14,{"Downside","Base","Upside"},0),C12,D12,E12)</f>
        <v>0.01</v>
      </c>
      <c r="G12" s="73" t="s">
        <v>231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</row>
    <row r="13" spans="1:23" x14ac:dyDescent="0.3">
      <c r="A13" s="74" t="s">
        <v>220</v>
      </c>
      <c r="B13" s="70" t="s">
        <v>213</v>
      </c>
      <c r="C13" s="71">
        <v>5.0000000000000001E-3</v>
      </c>
      <c r="D13" s="71">
        <v>8.0000000000000002E-3</v>
      </c>
      <c r="E13" s="71">
        <v>1.0999999999999999E-2</v>
      </c>
      <c r="F13" s="72">
        <f>CHOOSE(MATCH('02_Control'!$B$14,{"Downside","Base","Upside"},0),C13,D13,E13)</f>
        <v>8.0000000000000002E-3</v>
      </c>
      <c r="G13" s="73" t="s">
        <v>232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</row>
    <row r="14" spans="1:23" x14ac:dyDescent="0.3">
      <c r="A14" s="74" t="s">
        <v>220</v>
      </c>
      <c r="B14" s="70" t="s">
        <v>214</v>
      </c>
      <c r="C14" s="71">
        <v>3.0000000000000001E-3</v>
      </c>
      <c r="D14" s="71">
        <v>6.0000000000000001E-3</v>
      </c>
      <c r="E14" s="71">
        <v>0.01</v>
      </c>
      <c r="F14" s="72">
        <f>CHOOSE(MATCH('02_Control'!$B$14,{"Downside","Base","Upside"},0),C14,D14,E14)</f>
        <v>6.0000000000000001E-3</v>
      </c>
      <c r="G14" s="73" t="s">
        <v>233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</row>
    <row r="15" spans="1:23" x14ac:dyDescent="0.3">
      <c r="A15" s="69" t="s">
        <v>221</v>
      </c>
      <c r="B15" s="70" t="s">
        <v>222</v>
      </c>
      <c r="C15" s="71">
        <v>0.78</v>
      </c>
      <c r="D15" s="71">
        <v>0.82</v>
      </c>
      <c r="E15" s="71">
        <v>0.86</v>
      </c>
      <c r="F15" s="72">
        <f>CHOOSE(MATCH('02_Control'!$B$14,{"Downside","Base","Upside"},0),C15,D15,E15)</f>
        <v>0.82</v>
      </c>
      <c r="G15" s="73" t="s">
        <v>234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</row>
    <row r="16" spans="1:23" x14ac:dyDescent="0.3">
      <c r="A16" s="69" t="s">
        <v>221</v>
      </c>
      <c r="B16" s="70" t="s">
        <v>215</v>
      </c>
      <c r="C16" s="71">
        <v>0.18</v>
      </c>
      <c r="D16" s="71">
        <v>0.15</v>
      </c>
      <c r="E16" s="71">
        <v>0.12</v>
      </c>
      <c r="F16" s="72">
        <f>CHOOSE(MATCH('02_Control'!$B$14,{"Downside","Base","Upside"},0),C16,D16,E16)</f>
        <v>0.15</v>
      </c>
      <c r="G16" s="73" t="s">
        <v>235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</row>
    <row r="17" spans="1:23" x14ac:dyDescent="0.3">
      <c r="A17" s="69" t="s">
        <v>221</v>
      </c>
      <c r="B17" s="70" t="s">
        <v>216</v>
      </c>
      <c r="C17" s="71">
        <v>0.1</v>
      </c>
      <c r="D17" s="71">
        <v>0.12</v>
      </c>
      <c r="E17" s="71">
        <v>0.14000000000000001</v>
      </c>
      <c r="F17" s="72">
        <f>CHOOSE(MATCH('02_Control'!$B$14,{"Downside","Base","Upside"},0),C17,D17,E17)</f>
        <v>0.12</v>
      </c>
      <c r="G17" s="73" t="s">
        <v>236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</row>
    <row r="18" spans="1:23" x14ac:dyDescent="0.3">
      <c r="A18" s="69" t="s">
        <v>221</v>
      </c>
      <c r="B18" s="70" t="s">
        <v>217</v>
      </c>
      <c r="C18" s="71">
        <v>0.75</v>
      </c>
      <c r="D18" s="71">
        <v>0.8</v>
      </c>
      <c r="E18" s="71">
        <v>0.85</v>
      </c>
      <c r="F18" s="72">
        <f>CHOOSE(MATCH('02_Control'!$B$14,{"Downside","Base","Upside"},0),C18,D18,E18)</f>
        <v>0.8</v>
      </c>
      <c r="G18" s="73" t="s">
        <v>237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</row>
    <row r="19" spans="1:23" x14ac:dyDescent="0.3">
      <c r="A19" s="69" t="s">
        <v>221</v>
      </c>
      <c r="B19" s="70" t="s">
        <v>223</v>
      </c>
      <c r="C19" s="71">
        <v>0.8</v>
      </c>
      <c r="D19" s="71">
        <v>0.85</v>
      </c>
      <c r="E19" s="71">
        <v>0.9</v>
      </c>
      <c r="F19" s="72">
        <f>CHOOSE(MATCH('02_Control'!$B$14,{"Downside","Base","Upside"},0),C19,D19,E19)</f>
        <v>0.85</v>
      </c>
      <c r="G19" s="73" t="s">
        <v>238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</row>
    <row r="20" spans="1:23" x14ac:dyDescent="0.3">
      <c r="A20" s="74" t="s">
        <v>268</v>
      </c>
      <c r="B20" s="70" t="s">
        <v>269</v>
      </c>
      <c r="C20" s="213">
        <v>8000000</v>
      </c>
      <c r="D20" s="213">
        <v>10000000</v>
      </c>
      <c r="E20" s="213">
        <v>12000000</v>
      </c>
      <c r="F20" s="214">
        <f>CHOOSE(MATCH('02_Control'!$B$14,{"Downside","Base","Upside"},0),C20,D20,E20)</f>
        <v>10000000</v>
      </c>
      <c r="G20" s="73" t="s">
        <v>270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</row>
    <row r="21" spans="1:23" x14ac:dyDescent="0.3">
      <c r="A21" s="134" t="s">
        <v>280</v>
      </c>
      <c r="B21" s="70" t="s">
        <v>281</v>
      </c>
      <c r="C21" s="71">
        <v>0.25</v>
      </c>
      <c r="D21" s="71">
        <v>0.25</v>
      </c>
      <c r="E21" s="71">
        <v>0.25</v>
      </c>
      <c r="F21" s="72">
        <f>CHOOSE(MATCH('02_Control'!$B$14,{"Downside","Base","Upside"},0),C21,D21,E21)</f>
        <v>0.25</v>
      </c>
      <c r="G21" s="73" t="s">
        <v>282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</row>
    <row r="22" spans="1:23" x14ac:dyDescent="0.3">
      <c r="A22" s="134" t="s">
        <v>280</v>
      </c>
      <c r="B22" s="70" t="s">
        <v>283</v>
      </c>
      <c r="C22" s="71">
        <v>0.05</v>
      </c>
      <c r="D22" s="71">
        <v>3.5000000000000003E-2</v>
      </c>
      <c r="E22" s="71">
        <v>2.5000000000000001E-2</v>
      </c>
      <c r="F22" s="72">
        <f>CHOOSE(MATCH('02_Control'!$B$14,{"Downside","Base","Upside"},0),C22,D22,E22)</f>
        <v>3.5000000000000003E-2</v>
      </c>
      <c r="G22" s="73" t="s">
        <v>284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</row>
    <row r="23" spans="1:23" x14ac:dyDescent="0.3">
      <c r="A23" s="134" t="s">
        <v>280</v>
      </c>
      <c r="B23" s="70" t="s">
        <v>285</v>
      </c>
      <c r="C23" s="71">
        <v>0.12</v>
      </c>
      <c r="D23" s="71">
        <v>0.1</v>
      </c>
      <c r="E23" s="71">
        <v>8.5000000000000006E-2</v>
      </c>
      <c r="F23" s="72">
        <f>CHOOSE(MATCH('02_Control'!$B$14,{"Downside","Base","Upside"},0),C23,D23,E23)</f>
        <v>0.1</v>
      </c>
      <c r="G23" s="73" t="s">
        <v>286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</row>
    <row r="24" spans="1:23" x14ac:dyDescent="0.3">
      <c r="A24" s="134" t="s">
        <v>280</v>
      </c>
      <c r="B24" s="70" t="s">
        <v>287</v>
      </c>
      <c r="C24" s="71">
        <v>0.02</v>
      </c>
      <c r="D24" s="71">
        <v>2.5000000000000001E-2</v>
      </c>
      <c r="E24" s="71">
        <v>0.03</v>
      </c>
      <c r="F24" s="72">
        <f>CHOOSE(MATCH('02_Control'!$B$14,{"Downside","Base","Upside"},0),C24,D24,E24)</f>
        <v>2.5000000000000001E-2</v>
      </c>
      <c r="G24" s="73" t="s">
        <v>288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</row>
    <row r="25" spans="1:23" x14ac:dyDescent="0.3">
      <c r="A25" s="134" t="s">
        <v>280</v>
      </c>
      <c r="B25" s="70" t="s">
        <v>289</v>
      </c>
      <c r="C25" s="71">
        <v>0.5</v>
      </c>
      <c r="D25" s="71">
        <v>0.5</v>
      </c>
      <c r="E25" s="71">
        <v>0.5</v>
      </c>
      <c r="F25" s="72">
        <f>CHOOSE(MATCH('02_Control'!$B$14,{"Downside","Base","Upside"},0),C25,D25,E25)</f>
        <v>0.5</v>
      </c>
      <c r="G25" s="73" t="s">
        <v>290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</row>
  </sheetData>
  <mergeCells count="2">
    <mergeCell ref="A1:B2"/>
    <mergeCell ref="A3:W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277E-F00F-4CCA-891F-DA1B9152B6B6}">
  <dimension ref="A1:CG37"/>
  <sheetViews>
    <sheetView showGridLines="0"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" width="35.21875" customWidth="1"/>
    <col min="2" max="5" width="13.88671875" bestFit="1" customWidth="1"/>
    <col min="6" max="8" width="14.88671875" bestFit="1" customWidth="1"/>
    <col min="9" max="85" width="14.44140625" customWidth="1"/>
  </cols>
  <sheetData>
    <row r="1" spans="1:85" ht="28.2" customHeight="1" x14ac:dyDescent="0.4">
      <c r="A1" s="121" t="s">
        <v>245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2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</row>
    <row r="2" spans="1:85" ht="17.399999999999999" customHeight="1" x14ac:dyDescent="0.3">
      <c r="A2" s="123" t="str">
        <f>"Monthly detail + annual rollup | Scenario: "&amp;'02_Control'!$B$14&amp;" | Currency: "&amp;'02_Control'!$B$12</f>
        <v>Monthly detail + annual rollup | Scenario: Base | Currency: GBP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4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</row>
    <row r="3" spans="1:85" ht="17.399999999999999" customHeigh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</row>
    <row r="4" spans="1:85" x14ac:dyDescent="0.3">
      <c r="A4" s="45" t="s">
        <v>246</v>
      </c>
      <c r="B4" s="46">
        <f>'05_Monthly_Model'!B4</f>
        <v>44927</v>
      </c>
      <c r="C4" s="46">
        <f>'05_Monthly_Model'!C4</f>
        <v>44958</v>
      </c>
      <c r="D4" s="46">
        <f>'05_Monthly_Model'!D4</f>
        <v>44986</v>
      </c>
      <c r="E4" s="46">
        <f>'05_Monthly_Model'!E4</f>
        <v>45017</v>
      </c>
      <c r="F4" s="46">
        <f>'05_Monthly_Model'!F4</f>
        <v>45047</v>
      </c>
      <c r="G4" s="46">
        <f>'05_Monthly_Model'!G4</f>
        <v>45078</v>
      </c>
      <c r="H4" s="46">
        <f>'05_Monthly_Model'!H4</f>
        <v>45108</v>
      </c>
      <c r="I4" s="46">
        <f>'05_Monthly_Model'!I4</f>
        <v>45139</v>
      </c>
      <c r="J4" s="46">
        <f>'05_Monthly_Model'!J4</f>
        <v>45170</v>
      </c>
      <c r="K4" s="46">
        <f>'05_Monthly_Model'!K4</f>
        <v>45200</v>
      </c>
      <c r="L4" s="46">
        <f>'05_Monthly_Model'!L4</f>
        <v>45231</v>
      </c>
      <c r="M4" s="46">
        <f>'05_Monthly_Model'!M4</f>
        <v>45261</v>
      </c>
      <c r="N4" s="46">
        <f>'05_Monthly_Model'!N4</f>
        <v>45292</v>
      </c>
      <c r="O4" s="46">
        <f>'05_Monthly_Model'!O4</f>
        <v>45323</v>
      </c>
      <c r="P4" s="46">
        <f>'05_Monthly_Model'!P4</f>
        <v>45352</v>
      </c>
      <c r="Q4" s="46">
        <f>'05_Monthly_Model'!Q4</f>
        <v>45383</v>
      </c>
      <c r="R4" s="46">
        <f>'05_Monthly_Model'!R4</f>
        <v>45413</v>
      </c>
      <c r="S4" s="46">
        <f>'05_Monthly_Model'!S4</f>
        <v>45444</v>
      </c>
      <c r="T4" s="46">
        <f>'05_Monthly_Model'!T4</f>
        <v>45474</v>
      </c>
      <c r="U4" s="46">
        <f>'05_Monthly_Model'!U4</f>
        <v>45505</v>
      </c>
      <c r="V4" s="46">
        <f>'05_Monthly_Model'!V4</f>
        <v>45536</v>
      </c>
      <c r="W4" s="46">
        <f>'05_Monthly_Model'!W4</f>
        <v>45566</v>
      </c>
      <c r="X4" s="46">
        <f>'05_Monthly_Model'!X4</f>
        <v>45597</v>
      </c>
      <c r="Y4" s="46">
        <f>'05_Monthly_Model'!Y4</f>
        <v>45627</v>
      </c>
      <c r="Z4" s="46">
        <f>'05_Monthly_Model'!Z4</f>
        <v>45658</v>
      </c>
      <c r="AA4" s="46">
        <f>'05_Monthly_Model'!AA4</f>
        <v>45689</v>
      </c>
      <c r="AB4" s="46">
        <f>'05_Monthly_Model'!AB4</f>
        <v>45717</v>
      </c>
      <c r="AC4" s="46">
        <f>'05_Monthly_Model'!AC4</f>
        <v>45748</v>
      </c>
      <c r="AD4" s="46">
        <f>'05_Monthly_Model'!AD4</f>
        <v>45778</v>
      </c>
      <c r="AE4" s="46">
        <f>'05_Monthly_Model'!AE4</f>
        <v>45809</v>
      </c>
      <c r="AF4" s="46">
        <f>'05_Monthly_Model'!AF4</f>
        <v>45839</v>
      </c>
      <c r="AG4" s="46">
        <f>'05_Monthly_Model'!AG4</f>
        <v>45870</v>
      </c>
      <c r="AH4" s="46">
        <f>'05_Monthly_Model'!AH4</f>
        <v>45901</v>
      </c>
      <c r="AI4" s="46">
        <f>'05_Monthly_Model'!AI4</f>
        <v>45931</v>
      </c>
      <c r="AJ4" s="46">
        <f>'05_Monthly_Model'!AJ4</f>
        <v>45962</v>
      </c>
      <c r="AK4" s="46">
        <f>'05_Monthly_Model'!AK4</f>
        <v>45992</v>
      </c>
      <c r="AL4" s="46">
        <f>'05_Monthly_Model'!AL4</f>
        <v>46023</v>
      </c>
      <c r="AM4" s="46">
        <f>'05_Monthly_Model'!AM4</f>
        <v>46054</v>
      </c>
      <c r="AN4" s="46">
        <f>'05_Monthly_Model'!AN4</f>
        <v>46082</v>
      </c>
      <c r="AO4" s="46">
        <f>'05_Monthly_Model'!AO4</f>
        <v>46113</v>
      </c>
      <c r="AP4" s="46">
        <f>'05_Monthly_Model'!AP4</f>
        <v>46143</v>
      </c>
      <c r="AQ4" s="46">
        <f>'05_Monthly_Model'!AQ4</f>
        <v>46174</v>
      </c>
      <c r="AR4" s="46">
        <f>'05_Monthly_Model'!AR4</f>
        <v>46204</v>
      </c>
      <c r="AS4" s="46">
        <f>'05_Monthly_Model'!AS4</f>
        <v>46235</v>
      </c>
      <c r="AT4" s="46">
        <f>'05_Monthly_Model'!AT4</f>
        <v>46266</v>
      </c>
      <c r="AU4" s="46">
        <f>'05_Monthly_Model'!AU4</f>
        <v>46296</v>
      </c>
      <c r="AV4" s="46">
        <f>'05_Monthly_Model'!AV4</f>
        <v>46327</v>
      </c>
      <c r="AW4" s="46">
        <f>'05_Monthly_Model'!AW4</f>
        <v>46357</v>
      </c>
      <c r="AX4" s="46">
        <f>'05_Monthly_Model'!AX4</f>
        <v>46388</v>
      </c>
      <c r="AY4" s="46">
        <f>'05_Monthly_Model'!AY4</f>
        <v>46419</v>
      </c>
      <c r="AZ4" s="46">
        <f>'05_Monthly_Model'!AZ4</f>
        <v>46447</v>
      </c>
      <c r="BA4" s="46">
        <f>'05_Monthly_Model'!BA4</f>
        <v>46478</v>
      </c>
      <c r="BB4" s="46">
        <f>'05_Monthly_Model'!BB4</f>
        <v>46508</v>
      </c>
      <c r="BC4" s="46">
        <f>'05_Monthly_Model'!BC4</f>
        <v>46539</v>
      </c>
      <c r="BD4" s="46">
        <f>'05_Monthly_Model'!BD4</f>
        <v>46569</v>
      </c>
      <c r="BE4" s="46">
        <f>'05_Monthly_Model'!BE4</f>
        <v>46600</v>
      </c>
      <c r="BF4" s="46">
        <f>'05_Monthly_Model'!BF4</f>
        <v>46631</v>
      </c>
      <c r="BG4" s="46">
        <f>'05_Monthly_Model'!BG4</f>
        <v>46661</v>
      </c>
      <c r="BH4" s="46">
        <f>'05_Monthly_Model'!BH4</f>
        <v>46692</v>
      </c>
      <c r="BI4" s="46">
        <f>'05_Monthly_Model'!BI4</f>
        <v>46722</v>
      </c>
      <c r="BJ4" s="46">
        <f>'05_Monthly_Model'!BJ4</f>
        <v>46753</v>
      </c>
      <c r="BK4" s="46">
        <f>'05_Monthly_Model'!BK4</f>
        <v>46784</v>
      </c>
      <c r="BL4" s="46">
        <f>'05_Monthly_Model'!BL4</f>
        <v>46813</v>
      </c>
      <c r="BM4" s="46">
        <f>'05_Monthly_Model'!BM4</f>
        <v>46844</v>
      </c>
      <c r="BN4" s="46">
        <f>'05_Monthly_Model'!BN4</f>
        <v>46874</v>
      </c>
      <c r="BO4" s="46">
        <f>'05_Monthly_Model'!BO4</f>
        <v>46905</v>
      </c>
      <c r="BP4" s="46">
        <f>'05_Monthly_Model'!BP4</f>
        <v>46935</v>
      </c>
      <c r="BQ4" s="46">
        <f>'05_Monthly_Model'!BQ4</f>
        <v>46966</v>
      </c>
      <c r="BR4" s="46">
        <f>'05_Monthly_Model'!BR4</f>
        <v>46997</v>
      </c>
      <c r="BS4" s="46">
        <f>'05_Monthly_Model'!BS4</f>
        <v>47027</v>
      </c>
      <c r="BT4" s="46">
        <f>'05_Monthly_Model'!BT4</f>
        <v>47058</v>
      </c>
      <c r="BU4" s="46">
        <f>'05_Monthly_Model'!BU4</f>
        <v>47088</v>
      </c>
      <c r="BV4" s="46">
        <f>'05_Monthly_Model'!BV4</f>
        <v>47119</v>
      </c>
      <c r="BW4" s="46">
        <f>'05_Monthly_Model'!BW4</f>
        <v>47150</v>
      </c>
      <c r="BX4" s="46">
        <f>'05_Monthly_Model'!BX4</f>
        <v>47178</v>
      </c>
      <c r="BY4" s="46">
        <f>'05_Monthly_Model'!BY4</f>
        <v>47209</v>
      </c>
      <c r="BZ4" s="46">
        <f>'05_Monthly_Model'!BZ4</f>
        <v>47239</v>
      </c>
      <c r="CA4" s="46">
        <f>'05_Monthly_Model'!CA4</f>
        <v>47270</v>
      </c>
      <c r="CB4" s="46">
        <f>'05_Monthly_Model'!CB4</f>
        <v>47300</v>
      </c>
      <c r="CC4" s="46">
        <f>'05_Monthly_Model'!CC4</f>
        <v>47331</v>
      </c>
      <c r="CD4" s="46">
        <f>'05_Monthly_Model'!CD4</f>
        <v>47362</v>
      </c>
      <c r="CE4" s="46">
        <f>'05_Monthly_Model'!CE4</f>
        <v>47392</v>
      </c>
      <c r="CF4" s="46">
        <f>'05_Monthly_Model'!CF4</f>
        <v>47423</v>
      </c>
      <c r="CG4" s="46">
        <f>'05_Monthly_Model'!CG4</f>
        <v>47453</v>
      </c>
    </row>
    <row r="5" spans="1:85" x14ac:dyDescent="0.3">
      <c r="A5" s="16" t="s">
        <v>22</v>
      </c>
      <c r="B5" s="17" t="str">
        <f>'05_Monthly_Model'!B5</f>
        <v>Actual</v>
      </c>
      <c r="C5" s="17" t="str">
        <f>'05_Monthly_Model'!C5</f>
        <v>Actual</v>
      </c>
      <c r="D5" s="17" t="str">
        <f>'05_Monthly_Model'!D5</f>
        <v>Actual</v>
      </c>
      <c r="E5" s="17" t="str">
        <f>'05_Monthly_Model'!E5</f>
        <v>Actual</v>
      </c>
      <c r="F5" s="17" t="str">
        <f>'05_Monthly_Model'!F5</f>
        <v>Actual</v>
      </c>
      <c r="G5" s="17" t="str">
        <f>'05_Monthly_Model'!G5</f>
        <v>Actual</v>
      </c>
      <c r="H5" s="17" t="str">
        <f>'05_Monthly_Model'!H5</f>
        <v>Actual</v>
      </c>
      <c r="I5" s="17" t="str">
        <f>'05_Monthly_Model'!I5</f>
        <v>Actual</v>
      </c>
      <c r="J5" s="17" t="str">
        <f>'05_Monthly_Model'!J5</f>
        <v>Actual</v>
      </c>
      <c r="K5" s="17" t="str">
        <f>'05_Monthly_Model'!K5</f>
        <v>Actual</v>
      </c>
      <c r="L5" s="17" t="str">
        <f>'05_Monthly_Model'!L5</f>
        <v>Actual</v>
      </c>
      <c r="M5" s="17" t="str">
        <f>'05_Monthly_Model'!M5</f>
        <v>Actual</v>
      </c>
      <c r="N5" s="17" t="str">
        <f>'05_Monthly_Model'!N5</f>
        <v>Actual</v>
      </c>
      <c r="O5" s="17" t="str">
        <f>'05_Monthly_Model'!O5</f>
        <v>Actual</v>
      </c>
      <c r="P5" s="17" t="str">
        <f>'05_Monthly_Model'!P5</f>
        <v>Actual</v>
      </c>
      <c r="Q5" s="17" t="str">
        <f>'05_Monthly_Model'!Q5</f>
        <v>Actual</v>
      </c>
      <c r="R5" s="17" t="str">
        <f>'05_Monthly_Model'!R5</f>
        <v>Actual</v>
      </c>
      <c r="S5" s="17" t="str">
        <f>'05_Monthly_Model'!S5</f>
        <v>Actual</v>
      </c>
      <c r="T5" s="17" t="str">
        <f>'05_Monthly_Model'!T5</f>
        <v>Actual</v>
      </c>
      <c r="U5" s="17" t="str">
        <f>'05_Monthly_Model'!U5</f>
        <v>Actual</v>
      </c>
      <c r="V5" s="17" t="str">
        <f>'05_Monthly_Model'!V5</f>
        <v>Actual</v>
      </c>
      <c r="W5" s="17" t="str">
        <f>'05_Monthly_Model'!W5</f>
        <v>Actual</v>
      </c>
      <c r="X5" s="17" t="str">
        <f>'05_Monthly_Model'!X5</f>
        <v>Actual</v>
      </c>
      <c r="Y5" s="17" t="str">
        <f>'05_Monthly_Model'!Y5</f>
        <v>Actual</v>
      </c>
      <c r="Z5" s="17" t="str">
        <f>'05_Monthly_Model'!Z5</f>
        <v>Actual</v>
      </c>
      <c r="AA5" s="17" t="str">
        <f>'05_Monthly_Model'!AA5</f>
        <v>Actual</v>
      </c>
      <c r="AB5" s="17" t="str">
        <f>'05_Monthly_Model'!AB5</f>
        <v>Actual</v>
      </c>
      <c r="AC5" s="17" t="str">
        <f>'05_Monthly_Model'!AC5</f>
        <v>Actual</v>
      </c>
      <c r="AD5" s="17" t="str">
        <f>'05_Monthly_Model'!AD5</f>
        <v>Actual</v>
      </c>
      <c r="AE5" s="17" t="str">
        <f>'05_Monthly_Model'!AE5</f>
        <v>Actual</v>
      </c>
      <c r="AF5" s="17" t="str">
        <f>'05_Monthly_Model'!AF5</f>
        <v>Actual</v>
      </c>
      <c r="AG5" s="17" t="str">
        <f>'05_Monthly_Model'!AG5</f>
        <v>Actual</v>
      </c>
      <c r="AH5" s="17" t="str">
        <f>'05_Monthly_Model'!AH5</f>
        <v>Actual</v>
      </c>
      <c r="AI5" s="17" t="str">
        <f>'05_Monthly_Model'!AI5</f>
        <v>Actual</v>
      </c>
      <c r="AJ5" s="17" t="str">
        <f>'05_Monthly_Model'!AJ5</f>
        <v>Actual</v>
      </c>
      <c r="AK5" s="17" t="str">
        <f>'05_Monthly_Model'!AK5</f>
        <v>Actual</v>
      </c>
      <c r="AL5" s="17" t="str">
        <f>'05_Monthly_Model'!AL5</f>
        <v>Actual</v>
      </c>
      <c r="AM5" s="17" t="str">
        <f>'05_Monthly_Model'!AM5</f>
        <v>Actual</v>
      </c>
      <c r="AN5" s="17" t="str">
        <f>'05_Monthly_Model'!AN5</f>
        <v>Actual</v>
      </c>
      <c r="AO5" s="17" t="str">
        <f>'05_Monthly_Model'!AO5</f>
        <v>Actual</v>
      </c>
      <c r="AP5" s="17" t="str">
        <f>'05_Monthly_Model'!AP5</f>
        <v>Actual</v>
      </c>
      <c r="AQ5" s="17" t="str">
        <f>'05_Monthly_Model'!AQ5</f>
        <v>Actual</v>
      </c>
      <c r="AR5" s="17" t="str">
        <f>'05_Monthly_Model'!AR5</f>
        <v>Forecast</v>
      </c>
      <c r="AS5" s="17" t="str">
        <f>'05_Monthly_Model'!AS5</f>
        <v>Forecast</v>
      </c>
      <c r="AT5" s="17" t="str">
        <f>'05_Monthly_Model'!AT5</f>
        <v>Forecast</v>
      </c>
      <c r="AU5" s="17" t="str">
        <f>'05_Monthly_Model'!AU5</f>
        <v>Forecast</v>
      </c>
      <c r="AV5" s="17" t="str">
        <f>'05_Monthly_Model'!AV5</f>
        <v>Forecast</v>
      </c>
      <c r="AW5" s="17" t="str">
        <f>'05_Monthly_Model'!AW5</f>
        <v>Forecast</v>
      </c>
      <c r="AX5" s="17" t="str">
        <f>'05_Monthly_Model'!AX5</f>
        <v>Forecast</v>
      </c>
      <c r="AY5" s="17" t="str">
        <f>'05_Monthly_Model'!AY5</f>
        <v>Forecast</v>
      </c>
      <c r="AZ5" s="17" t="str">
        <f>'05_Monthly_Model'!AZ5</f>
        <v>Forecast</v>
      </c>
      <c r="BA5" s="17" t="str">
        <f>'05_Monthly_Model'!BA5</f>
        <v>Forecast</v>
      </c>
      <c r="BB5" s="17" t="str">
        <f>'05_Monthly_Model'!BB5</f>
        <v>Forecast</v>
      </c>
      <c r="BC5" s="17" t="str">
        <f>'05_Monthly_Model'!BC5</f>
        <v>Forecast</v>
      </c>
      <c r="BD5" s="17" t="str">
        <f>'05_Monthly_Model'!BD5</f>
        <v>Forecast</v>
      </c>
      <c r="BE5" s="17" t="str">
        <f>'05_Monthly_Model'!BE5</f>
        <v>Forecast</v>
      </c>
      <c r="BF5" s="17" t="str">
        <f>'05_Monthly_Model'!BF5</f>
        <v>Forecast</v>
      </c>
      <c r="BG5" s="17" t="str">
        <f>'05_Monthly_Model'!BG5</f>
        <v>Forecast</v>
      </c>
      <c r="BH5" s="17" t="str">
        <f>'05_Monthly_Model'!BH5</f>
        <v>Forecast</v>
      </c>
      <c r="BI5" s="17" t="str">
        <f>'05_Monthly_Model'!BI5</f>
        <v>Forecast</v>
      </c>
      <c r="BJ5" s="17" t="str">
        <f>'05_Monthly_Model'!BJ5</f>
        <v>Forecast</v>
      </c>
      <c r="BK5" s="17" t="str">
        <f>'05_Monthly_Model'!BK5</f>
        <v>Forecast</v>
      </c>
      <c r="BL5" s="17" t="str">
        <f>'05_Monthly_Model'!BL5</f>
        <v>Forecast</v>
      </c>
      <c r="BM5" s="17" t="str">
        <f>'05_Monthly_Model'!BM5</f>
        <v>Forecast</v>
      </c>
      <c r="BN5" s="17" t="str">
        <f>'05_Monthly_Model'!BN5</f>
        <v>Forecast</v>
      </c>
      <c r="BO5" s="17" t="str">
        <f>'05_Monthly_Model'!BO5</f>
        <v>Forecast</v>
      </c>
      <c r="BP5" s="17" t="str">
        <f>'05_Monthly_Model'!BP5</f>
        <v>Forecast</v>
      </c>
      <c r="BQ5" s="17" t="str">
        <f>'05_Monthly_Model'!BQ5</f>
        <v>Forecast</v>
      </c>
      <c r="BR5" s="17" t="str">
        <f>'05_Monthly_Model'!BR5</f>
        <v>Forecast</v>
      </c>
      <c r="BS5" s="17" t="str">
        <f>'05_Monthly_Model'!BS5</f>
        <v>Forecast</v>
      </c>
      <c r="BT5" s="17" t="str">
        <f>'05_Monthly_Model'!BT5</f>
        <v>Forecast</v>
      </c>
      <c r="BU5" s="17" t="str">
        <f>'05_Monthly_Model'!BU5</f>
        <v>Forecast</v>
      </c>
      <c r="BV5" s="17" t="str">
        <f>'05_Monthly_Model'!BV5</f>
        <v>Forecast</v>
      </c>
      <c r="BW5" s="17" t="str">
        <f>'05_Monthly_Model'!BW5</f>
        <v>Forecast</v>
      </c>
      <c r="BX5" s="17" t="str">
        <f>'05_Monthly_Model'!BX5</f>
        <v>Forecast</v>
      </c>
      <c r="BY5" s="17" t="str">
        <f>'05_Monthly_Model'!BY5</f>
        <v>Forecast</v>
      </c>
      <c r="BZ5" s="17" t="str">
        <f>'05_Monthly_Model'!BZ5</f>
        <v>Forecast</v>
      </c>
      <c r="CA5" s="17" t="str">
        <f>'05_Monthly_Model'!CA5</f>
        <v>Forecast</v>
      </c>
      <c r="CB5" s="17" t="str">
        <f>'05_Monthly_Model'!CB5</f>
        <v>Forecast</v>
      </c>
      <c r="CC5" s="17" t="str">
        <f>'05_Monthly_Model'!CC5</f>
        <v>Forecast</v>
      </c>
      <c r="CD5" s="17" t="str">
        <f>'05_Monthly_Model'!CD5</f>
        <v>Forecast</v>
      </c>
      <c r="CE5" s="17" t="str">
        <f>'05_Monthly_Model'!CE5</f>
        <v>Forecast</v>
      </c>
      <c r="CF5" s="17" t="str">
        <f>'05_Monthly_Model'!CF5</f>
        <v>Forecast</v>
      </c>
      <c r="CG5" s="17" t="str">
        <f>'05_Monthly_Model'!CG5</f>
        <v>Forecast</v>
      </c>
    </row>
    <row r="6" spans="1:85" x14ac:dyDescent="0.3">
      <c r="A6" s="16" t="s">
        <v>129</v>
      </c>
      <c r="B6" s="17">
        <f>YEAR(B4)</f>
        <v>2023</v>
      </c>
      <c r="C6" s="17">
        <f t="shared" ref="C6:BN6" si="0">YEAR(C4)</f>
        <v>2023</v>
      </c>
      <c r="D6" s="17">
        <f t="shared" si="0"/>
        <v>2023</v>
      </c>
      <c r="E6" s="17">
        <f t="shared" si="0"/>
        <v>2023</v>
      </c>
      <c r="F6" s="17">
        <f t="shared" si="0"/>
        <v>2023</v>
      </c>
      <c r="G6" s="17">
        <f t="shared" si="0"/>
        <v>2023</v>
      </c>
      <c r="H6" s="17">
        <f t="shared" si="0"/>
        <v>2023</v>
      </c>
      <c r="I6" s="17">
        <f t="shared" si="0"/>
        <v>2023</v>
      </c>
      <c r="J6" s="17">
        <f t="shared" si="0"/>
        <v>2023</v>
      </c>
      <c r="K6" s="17">
        <f t="shared" si="0"/>
        <v>2023</v>
      </c>
      <c r="L6" s="17">
        <f t="shared" si="0"/>
        <v>2023</v>
      </c>
      <c r="M6" s="17">
        <f t="shared" si="0"/>
        <v>2023</v>
      </c>
      <c r="N6" s="17">
        <f t="shared" si="0"/>
        <v>2024</v>
      </c>
      <c r="O6" s="17">
        <f t="shared" si="0"/>
        <v>2024</v>
      </c>
      <c r="P6" s="17">
        <f t="shared" si="0"/>
        <v>2024</v>
      </c>
      <c r="Q6" s="17">
        <f t="shared" si="0"/>
        <v>2024</v>
      </c>
      <c r="R6" s="17">
        <f t="shared" si="0"/>
        <v>2024</v>
      </c>
      <c r="S6" s="17">
        <f t="shared" si="0"/>
        <v>2024</v>
      </c>
      <c r="T6" s="17">
        <f t="shared" si="0"/>
        <v>2024</v>
      </c>
      <c r="U6" s="17">
        <f t="shared" si="0"/>
        <v>2024</v>
      </c>
      <c r="V6" s="17">
        <f t="shared" si="0"/>
        <v>2024</v>
      </c>
      <c r="W6" s="17">
        <f t="shared" si="0"/>
        <v>2024</v>
      </c>
      <c r="X6" s="17">
        <f t="shared" si="0"/>
        <v>2024</v>
      </c>
      <c r="Y6" s="17">
        <f t="shared" si="0"/>
        <v>2024</v>
      </c>
      <c r="Z6" s="17">
        <f t="shared" si="0"/>
        <v>2025</v>
      </c>
      <c r="AA6" s="17">
        <f t="shared" si="0"/>
        <v>2025</v>
      </c>
      <c r="AB6" s="17">
        <f t="shared" si="0"/>
        <v>2025</v>
      </c>
      <c r="AC6" s="17">
        <f t="shared" si="0"/>
        <v>2025</v>
      </c>
      <c r="AD6" s="17">
        <f t="shared" si="0"/>
        <v>2025</v>
      </c>
      <c r="AE6" s="17">
        <f t="shared" si="0"/>
        <v>2025</v>
      </c>
      <c r="AF6" s="17">
        <f t="shared" si="0"/>
        <v>2025</v>
      </c>
      <c r="AG6" s="17">
        <f t="shared" si="0"/>
        <v>2025</v>
      </c>
      <c r="AH6" s="17">
        <f t="shared" si="0"/>
        <v>2025</v>
      </c>
      <c r="AI6" s="17">
        <f t="shared" si="0"/>
        <v>2025</v>
      </c>
      <c r="AJ6" s="17">
        <f t="shared" si="0"/>
        <v>2025</v>
      </c>
      <c r="AK6" s="17">
        <f t="shared" si="0"/>
        <v>2025</v>
      </c>
      <c r="AL6" s="17">
        <f t="shared" si="0"/>
        <v>2026</v>
      </c>
      <c r="AM6" s="17">
        <f t="shared" si="0"/>
        <v>2026</v>
      </c>
      <c r="AN6" s="17">
        <f t="shared" si="0"/>
        <v>2026</v>
      </c>
      <c r="AO6" s="17">
        <f t="shared" si="0"/>
        <v>2026</v>
      </c>
      <c r="AP6" s="17">
        <f t="shared" si="0"/>
        <v>2026</v>
      </c>
      <c r="AQ6" s="18">
        <f t="shared" si="0"/>
        <v>2026</v>
      </c>
      <c r="AR6" s="17">
        <f t="shared" si="0"/>
        <v>2026</v>
      </c>
      <c r="AS6" s="17">
        <f t="shared" si="0"/>
        <v>2026</v>
      </c>
      <c r="AT6" s="17">
        <f t="shared" si="0"/>
        <v>2026</v>
      </c>
      <c r="AU6" s="17">
        <f t="shared" si="0"/>
        <v>2026</v>
      </c>
      <c r="AV6" s="17">
        <f t="shared" si="0"/>
        <v>2026</v>
      </c>
      <c r="AW6" s="17">
        <f t="shared" si="0"/>
        <v>2026</v>
      </c>
      <c r="AX6" s="17">
        <f t="shared" si="0"/>
        <v>2027</v>
      </c>
      <c r="AY6" s="17">
        <f t="shared" si="0"/>
        <v>2027</v>
      </c>
      <c r="AZ6" s="17">
        <f t="shared" si="0"/>
        <v>2027</v>
      </c>
      <c r="BA6" s="17">
        <f t="shared" si="0"/>
        <v>2027</v>
      </c>
      <c r="BB6" s="17">
        <f t="shared" si="0"/>
        <v>2027</v>
      </c>
      <c r="BC6" s="17">
        <f t="shared" si="0"/>
        <v>2027</v>
      </c>
      <c r="BD6" s="17">
        <f t="shared" si="0"/>
        <v>2027</v>
      </c>
      <c r="BE6" s="17">
        <f t="shared" si="0"/>
        <v>2027</v>
      </c>
      <c r="BF6" s="17">
        <f t="shared" si="0"/>
        <v>2027</v>
      </c>
      <c r="BG6" s="17">
        <f t="shared" si="0"/>
        <v>2027</v>
      </c>
      <c r="BH6" s="17">
        <f t="shared" si="0"/>
        <v>2027</v>
      </c>
      <c r="BI6" s="17">
        <f t="shared" si="0"/>
        <v>2027</v>
      </c>
      <c r="BJ6" s="17">
        <f t="shared" si="0"/>
        <v>2028</v>
      </c>
      <c r="BK6" s="17">
        <f t="shared" si="0"/>
        <v>2028</v>
      </c>
      <c r="BL6" s="17">
        <f t="shared" si="0"/>
        <v>2028</v>
      </c>
      <c r="BM6" s="17">
        <f t="shared" si="0"/>
        <v>2028</v>
      </c>
      <c r="BN6" s="17">
        <f t="shared" si="0"/>
        <v>2028</v>
      </c>
      <c r="BO6" s="17">
        <f t="shared" ref="BO6:CG6" si="1">YEAR(BO4)</f>
        <v>2028</v>
      </c>
      <c r="BP6" s="17">
        <f t="shared" si="1"/>
        <v>2028</v>
      </c>
      <c r="BQ6" s="17">
        <f t="shared" si="1"/>
        <v>2028</v>
      </c>
      <c r="BR6" s="17">
        <f t="shared" si="1"/>
        <v>2028</v>
      </c>
      <c r="BS6" s="17">
        <f t="shared" si="1"/>
        <v>2028</v>
      </c>
      <c r="BT6" s="17">
        <f t="shared" si="1"/>
        <v>2028</v>
      </c>
      <c r="BU6" s="17">
        <f t="shared" si="1"/>
        <v>2028</v>
      </c>
      <c r="BV6" s="17">
        <f t="shared" si="1"/>
        <v>2029</v>
      </c>
      <c r="BW6" s="17">
        <f t="shared" si="1"/>
        <v>2029</v>
      </c>
      <c r="BX6" s="17">
        <f t="shared" si="1"/>
        <v>2029</v>
      </c>
      <c r="BY6" s="17">
        <f t="shared" si="1"/>
        <v>2029</v>
      </c>
      <c r="BZ6" s="17">
        <f t="shared" si="1"/>
        <v>2029</v>
      </c>
      <c r="CA6" s="17">
        <f t="shared" si="1"/>
        <v>2029</v>
      </c>
      <c r="CB6" s="17">
        <f t="shared" si="1"/>
        <v>2029</v>
      </c>
      <c r="CC6" s="17">
        <f t="shared" si="1"/>
        <v>2029</v>
      </c>
      <c r="CD6" s="17">
        <f t="shared" si="1"/>
        <v>2029</v>
      </c>
      <c r="CE6" s="17">
        <f t="shared" si="1"/>
        <v>2029</v>
      </c>
      <c r="CF6" s="17">
        <f t="shared" si="1"/>
        <v>2029</v>
      </c>
      <c r="CG6" s="17">
        <f t="shared" si="1"/>
        <v>2029</v>
      </c>
    </row>
    <row r="7" spans="1:85" s="6" customFormat="1" ht="15" thickBot="1" x14ac:dyDescent="0.35">
      <c r="A7" s="20" t="s">
        <v>23</v>
      </c>
      <c r="B7" s="21" t="str">
        <f>"Q"&amp;ROUNDUP(MONTH(B4)/3,0)</f>
        <v>Q1</v>
      </c>
      <c r="C7" s="21" t="str">
        <f t="shared" ref="C7:BN7" si="2">"Q"&amp;ROUNDUP(MONTH(C4)/3,0)</f>
        <v>Q1</v>
      </c>
      <c r="D7" s="21" t="str">
        <f t="shared" si="2"/>
        <v>Q1</v>
      </c>
      <c r="E7" s="21" t="str">
        <f t="shared" si="2"/>
        <v>Q2</v>
      </c>
      <c r="F7" s="21" t="str">
        <f t="shared" si="2"/>
        <v>Q2</v>
      </c>
      <c r="G7" s="21" t="str">
        <f t="shared" si="2"/>
        <v>Q2</v>
      </c>
      <c r="H7" s="21" t="str">
        <f t="shared" si="2"/>
        <v>Q3</v>
      </c>
      <c r="I7" s="21" t="str">
        <f t="shared" si="2"/>
        <v>Q3</v>
      </c>
      <c r="J7" s="21" t="str">
        <f t="shared" si="2"/>
        <v>Q3</v>
      </c>
      <c r="K7" s="21" t="str">
        <f t="shared" si="2"/>
        <v>Q4</v>
      </c>
      <c r="L7" s="21" t="str">
        <f t="shared" si="2"/>
        <v>Q4</v>
      </c>
      <c r="M7" s="21" t="str">
        <f t="shared" si="2"/>
        <v>Q4</v>
      </c>
      <c r="N7" s="21" t="str">
        <f t="shared" si="2"/>
        <v>Q1</v>
      </c>
      <c r="O7" s="21" t="str">
        <f t="shared" si="2"/>
        <v>Q1</v>
      </c>
      <c r="P7" s="21" t="str">
        <f t="shared" si="2"/>
        <v>Q1</v>
      </c>
      <c r="Q7" s="21" t="str">
        <f t="shared" si="2"/>
        <v>Q2</v>
      </c>
      <c r="R7" s="21" t="str">
        <f t="shared" si="2"/>
        <v>Q2</v>
      </c>
      <c r="S7" s="21" t="str">
        <f t="shared" si="2"/>
        <v>Q2</v>
      </c>
      <c r="T7" s="21" t="str">
        <f t="shared" si="2"/>
        <v>Q3</v>
      </c>
      <c r="U7" s="21" t="str">
        <f t="shared" si="2"/>
        <v>Q3</v>
      </c>
      <c r="V7" s="21" t="str">
        <f t="shared" si="2"/>
        <v>Q3</v>
      </c>
      <c r="W7" s="21" t="str">
        <f t="shared" si="2"/>
        <v>Q4</v>
      </c>
      <c r="X7" s="21" t="str">
        <f t="shared" si="2"/>
        <v>Q4</v>
      </c>
      <c r="Y7" s="21" t="str">
        <f t="shared" si="2"/>
        <v>Q4</v>
      </c>
      <c r="Z7" s="21" t="str">
        <f t="shared" si="2"/>
        <v>Q1</v>
      </c>
      <c r="AA7" s="21" t="str">
        <f t="shared" si="2"/>
        <v>Q1</v>
      </c>
      <c r="AB7" s="21" t="str">
        <f t="shared" si="2"/>
        <v>Q1</v>
      </c>
      <c r="AC7" s="21" t="str">
        <f t="shared" si="2"/>
        <v>Q2</v>
      </c>
      <c r="AD7" s="21" t="str">
        <f t="shared" si="2"/>
        <v>Q2</v>
      </c>
      <c r="AE7" s="21" t="str">
        <f t="shared" si="2"/>
        <v>Q2</v>
      </c>
      <c r="AF7" s="21" t="str">
        <f t="shared" si="2"/>
        <v>Q3</v>
      </c>
      <c r="AG7" s="21" t="str">
        <f t="shared" si="2"/>
        <v>Q3</v>
      </c>
      <c r="AH7" s="21" t="str">
        <f t="shared" si="2"/>
        <v>Q3</v>
      </c>
      <c r="AI7" s="21" t="str">
        <f t="shared" si="2"/>
        <v>Q4</v>
      </c>
      <c r="AJ7" s="21" t="str">
        <f t="shared" si="2"/>
        <v>Q4</v>
      </c>
      <c r="AK7" s="21" t="str">
        <f t="shared" si="2"/>
        <v>Q4</v>
      </c>
      <c r="AL7" s="21" t="str">
        <f t="shared" si="2"/>
        <v>Q1</v>
      </c>
      <c r="AM7" s="21" t="str">
        <f t="shared" si="2"/>
        <v>Q1</v>
      </c>
      <c r="AN7" s="21" t="str">
        <f t="shared" si="2"/>
        <v>Q1</v>
      </c>
      <c r="AO7" s="21" t="str">
        <f t="shared" si="2"/>
        <v>Q2</v>
      </c>
      <c r="AP7" s="21" t="str">
        <f t="shared" si="2"/>
        <v>Q2</v>
      </c>
      <c r="AQ7" s="22" t="str">
        <f t="shared" si="2"/>
        <v>Q2</v>
      </c>
      <c r="AR7" s="21" t="str">
        <f t="shared" si="2"/>
        <v>Q3</v>
      </c>
      <c r="AS7" s="21" t="str">
        <f t="shared" si="2"/>
        <v>Q3</v>
      </c>
      <c r="AT7" s="21" t="str">
        <f t="shared" si="2"/>
        <v>Q3</v>
      </c>
      <c r="AU7" s="21" t="str">
        <f t="shared" si="2"/>
        <v>Q4</v>
      </c>
      <c r="AV7" s="21" t="str">
        <f t="shared" si="2"/>
        <v>Q4</v>
      </c>
      <c r="AW7" s="21" t="str">
        <f t="shared" si="2"/>
        <v>Q4</v>
      </c>
      <c r="AX7" s="21" t="str">
        <f t="shared" si="2"/>
        <v>Q1</v>
      </c>
      <c r="AY7" s="21" t="str">
        <f t="shared" si="2"/>
        <v>Q1</v>
      </c>
      <c r="AZ7" s="21" t="str">
        <f t="shared" si="2"/>
        <v>Q1</v>
      </c>
      <c r="BA7" s="21" t="str">
        <f t="shared" si="2"/>
        <v>Q2</v>
      </c>
      <c r="BB7" s="21" t="str">
        <f t="shared" si="2"/>
        <v>Q2</v>
      </c>
      <c r="BC7" s="21" t="str">
        <f t="shared" si="2"/>
        <v>Q2</v>
      </c>
      <c r="BD7" s="21" t="str">
        <f t="shared" si="2"/>
        <v>Q3</v>
      </c>
      <c r="BE7" s="21" t="str">
        <f t="shared" si="2"/>
        <v>Q3</v>
      </c>
      <c r="BF7" s="21" t="str">
        <f t="shared" si="2"/>
        <v>Q3</v>
      </c>
      <c r="BG7" s="21" t="str">
        <f t="shared" si="2"/>
        <v>Q4</v>
      </c>
      <c r="BH7" s="21" t="str">
        <f t="shared" si="2"/>
        <v>Q4</v>
      </c>
      <c r="BI7" s="21" t="str">
        <f t="shared" si="2"/>
        <v>Q4</v>
      </c>
      <c r="BJ7" s="21" t="str">
        <f t="shared" si="2"/>
        <v>Q1</v>
      </c>
      <c r="BK7" s="21" t="str">
        <f t="shared" si="2"/>
        <v>Q1</v>
      </c>
      <c r="BL7" s="21" t="str">
        <f t="shared" si="2"/>
        <v>Q1</v>
      </c>
      <c r="BM7" s="21" t="str">
        <f t="shared" si="2"/>
        <v>Q2</v>
      </c>
      <c r="BN7" s="21" t="str">
        <f t="shared" si="2"/>
        <v>Q2</v>
      </c>
      <c r="BO7" s="21" t="str">
        <f t="shared" ref="BO7:CG7" si="3">"Q"&amp;ROUNDUP(MONTH(BO4)/3,0)</f>
        <v>Q2</v>
      </c>
      <c r="BP7" s="21" t="str">
        <f t="shared" si="3"/>
        <v>Q3</v>
      </c>
      <c r="BQ7" s="21" t="str">
        <f t="shared" si="3"/>
        <v>Q3</v>
      </c>
      <c r="BR7" s="21" t="str">
        <f t="shared" si="3"/>
        <v>Q3</v>
      </c>
      <c r="BS7" s="21" t="str">
        <f t="shared" si="3"/>
        <v>Q4</v>
      </c>
      <c r="BT7" s="21" t="str">
        <f t="shared" si="3"/>
        <v>Q4</v>
      </c>
      <c r="BU7" s="21" t="str">
        <f t="shared" si="3"/>
        <v>Q4</v>
      </c>
      <c r="BV7" s="21" t="str">
        <f t="shared" si="3"/>
        <v>Q1</v>
      </c>
      <c r="BW7" s="21" t="str">
        <f t="shared" si="3"/>
        <v>Q1</v>
      </c>
      <c r="BX7" s="21" t="str">
        <f t="shared" si="3"/>
        <v>Q1</v>
      </c>
      <c r="BY7" s="21" t="str">
        <f t="shared" si="3"/>
        <v>Q2</v>
      </c>
      <c r="BZ7" s="21" t="str">
        <f t="shared" si="3"/>
        <v>Q2</v>
      </c>
      <c r="CA7" s="21" t="str">
        <f t="shared" si="3"/>
        <v>Q2</v>
      </c>
      <c r="CB7" s="21" t="str">
        <f t="shared" si="3"/>
        <v>Q3</v>
      </c>
      <c r="CC7" s="21" t="str">
        <f t="shared" si="3"/>
        <v>Q3</v>
      </c>
      <c r="CD7" s="21" t="str">
        <f t="shared" si="3"/>
        <v>Q3</v>
      </c>
      <c r="CE7" s="21" t="str">
        <f t="shared" si="3"/>
        <v>Q4</v>
      </c>
      <c r="CF7" s="21" t="str">
        <f t="shared" si="3"/>
        <v>Q4</v>
      </c>
      <c r="CG7" s="21" t="str">
        <f t="shared" si="3"/>
        <v>Q4</v>
      </c>
    </row>
    <row r="8" spans="1:85" x14ac:dyDescent="0.3">
      <c r="A8" s="94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</row>
    <row r="9" spans="1:85" x14ac:dyDescent="0.3">
      <c r="A9" s="23" t="s">
        <v>56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5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</row>
    <row r="10" spans="1:85" x14ac:dyDescent="0.3">
      <c r="A10" s="26" t="s">
        <v>28</v>
      </c>
      <c r="B10" s="27">
        <f>'05_Monthly_Model'!B10</f>
        <v>1466626.4300000002</v>
      </c>
      <c r="C10" s="27">
        <f>'05_Monthly_Model'!C10</f>
        <v>1641714.9400000002</v>
      </c>
      <c r="D10" s="27">
        <f>'05_Monthly_Model'!D10</f>
        <v>1917718.6300000008</v>
      </c>
      <c r="E10" s="27">
        <f>'05_Monthly_Model'!E10</f>
        <v>2122884.7000000039</v>
      </c>
      <c r="F10" s="27">
        <f>'05_Monthly_Model'!F10</f>
        <v>2373770.9699999997</v>
      </c>
      <c r="G10" s="27">
        <f>'05_Monthly_Model'!G10</f>
        <v>2624063.5199999996</v>
      </c>
      <c r="H10" s="27">
        <f>'05_Monthly_Model'!H10</f>
        <v>2899362.7599999974</v>
      </c>
      <c r="I10" s="27">
        <f>'05_Monthly_Model'!I10</f>
        <v>3163202.6</v>
      </c>
      <c r="J10" s="27">
        <f>'05_Monthly_Model'!J10</f>
        <v>3373435.1099999947</v>
      </c>
      <c r="K10" s="27">
        <f>'05_Monthly_Model'!K10</f>
        <v>3639853.0300000003</v>
      </c>
      <c r="L10" s="27">
        <f>'05_Monthly_Model'!L10</f>
        <v>3770045.77999999</v>
      </c>
      <c r="M10" s="27">
        <f>'05_Monthly_Model'!M10</f>
        <v>4105386.3800000087</v>
      </c>
      <c r="N10" s="27">
        <f>'05_Monthly_Model'!N10</f>
        <v>4195116.2700000117</v>
      </c>
      <c r="O10" s="27">
        <f>'05_Monthly_Model'!O10</f>
        <v>4105371.5100000212</v>
      </c>
      <c r="P10" s="27">
        <f>'05_Monthly_Model'!P10</f>
        <v>4370856.2800000096</v>
      </c>
      <c r="Q10" s="27">
        <f>'05_Monthly_Model'!Q10</f>
        <v>4353796.8699999852</v>
      </c>
      <c r="R10" s="27">
        <f>'05_Monthly_Model'!R10</f>
        <v>4577648.7699999912</v>
      </c>
      <c r="S10" s="27">
        <f>'05_Monthly_Model'!S10</f>
        <v>4545473.449999989</v>
      </c>
      <c r="T10" s="27">
        <f>'05_Monthly_Model'!T10</f>
        <v>4719176.0399999805</v>
      </c>
      <c r="U10" s="27">
        <f>'05_Monthly_Model'!U10</f>
        <v>4843681.579999974</v>
      </c>
      <c r="V10" s="27">
        <f>'05_Monthly_Model'!V10</f>
        <v>4818006.6699999897</v>
      </c>
      <c r="W10" s="27">
        <f>'05_Monthly_Model'!W10</f>
        <v>5019155.3099999772</v>
      </c>
      <c r="X10" s="27">
        <f>'05_Monthly_Model'!X10</f>
        <v>4987826.0699999928</v>
      </c>
      <c r="Y10" s="27">
        <f>'05_Monthly_Model'!Y10</f>
        <v>5167534.5799999647</v>
      </c>
      <c r="Z10" s="27">
        <f>'05_Monthly_Model'!Z10</f>
        <v>5270030.4499999573</v>
      </c>
      <c r="AA10" s="27">
        <f>'05_Monthly_Model'!AA10</f>
        <v>4998158.4700000007</v>
      </c>
      <c r="AB10" s="27">
        <f>'05_Monthly_Model'!AB10</f>
        <v>5374879.3999999668</v>
      </c>
      <c r="AC10" s="27">
        <f>'05_Monthly_Model'!AC10</f>
        <v>5324091.8899999876</v>
      </c>
      <c r="AD10" s="27">
        <f>'05_Monthly_Model'!AD10</f>
        <v>5505787.4599999702</v>
      </c>
      <c r="AE10" s="27">
        <f>'05_Monthly_Model'!AE10</f>
        <v>5414072.1999999993</v>
      </c>
      <c r="AF10" s="27">
        <f>'05_Monthly_Model'!AF10</f>
        <v>5624021.3499999819</v>
      </c>
      <c r="AG10" s="27">
        <f>'05_Monthly_Model'!AG10</f>
        <v>5701269.7399999676</v>
      </c>
      <c r="AH10" s="27">
        <f>'05_Monthly_Model'!AH10</f>
        <v>5621695.6499999883</v>
      </c>
      <c r="AI10" s="27">
        <f>'05_Monthly_Model'!AI10</f>
        <v>5786294.9199999571</v>
      </c>
      <c r="AJ10" s="27">
        <f>'05_Monthly_Model'!AJ10</f>
        <v>5698179.3499999875</v>
      </c>
      <c r="AK10" s="27">
        <f>'05_Monthly_Model'!AK10</f>
        <v>5868767.4199999534</v>
      </c>
      <c r="AL10" s="27">
        <f>'05_Monthly_Model'!AL10</f>
        <v>5927913.1099999566</v>
      </c>
      <c r="AM10" s="27">
        <f>'05_Monthly_Model'!AM10</f>
        <v>5523680.0099999597</v>
      </c>
      <c r="AN10" s="27">
        <f>'05_Monthly_Model'!AN10</f>
        <v>5894525.5099999579</v>
      </c>
      <c r="AO10" s="27">
        <f>'05_Monthly_Model'!AO10</f>
        <v>5770015.6699999878</v>
      </c>
      <c r="AP10" s="27">
        <f>'05_Monthly_Model'!AP10</f>
        <v>5892617.2199999485</v>
      </c>
      <c r="AQ10" s="27">
        <f>'05_Monthly_Model'!AQ10</f>
        <v>5797387.8599999938</v>
      </c>
      <c r="AR10" s="27">
        <f>'05_Monthly_Model'!AR10</f>
        <v>5855361.7385999942</v>
      </c>
      <c r="AS10" s="27">
        <f>'05_Monthly_Model'!AS10</f>
        <v>5913915.3559859945</v>
      </c>
      <c r="AT10" s="27">
        <f>'05_Monthly_Model'!AT10</f>
        <v>5973054.5095458543</v>
      </c>
      <c r="AU10" s="27">
        <f>'05_Monthly_Model'!AU10</f>
        <v>6032785.0546413129</v>
      </c>
      <c r="AV10" s="27">
        <f>'05_Monthly_Model'!AV10</f>
        <v>6093112.905187726</v>
      </c>
      <c r="AW10" s="27">
        <f>'05_Monthly_Model'!AW10</f>
        <v>6154044.0342396032</v>
      </c>
      <c r="AX10" s="27">
        <f>'05_Monthly_Model'!AX10</f>
        <v>6215584.4745819997</v>
      </c>
      <c r="AY10" s="27">
        <f>'05_Monthly_Model'!AY10</f>
        <v>6277740.3193278201</v>
      </c>
      <c r="AZ10" s="27">
        <f>'05_Monthly_Model'!AZ10</f>
        <v>6340517.7225210983</v>
      </c>
      <c r="BA10" s="27">
        <f>'05_Monthly_Model'!BA10</f>
        <v>6403922.899746309</v>
      </c>
      <c r="BB10" s="27">
        <f>'05_Monthly_Model'!BB10</f>
        <v>6467962.1287437724</v>
      </c>
      <c r="BC10" s="27">
        <f>'05_Monthly_Model'!BC10</f>
        <v>6532641.7500312105</v>
      </c>
      <c r="BD10" s="27">
        <f>'05_Monthly_Model'!BD10</f>
        <v>6597968.1675315229</v>
      </c>
      <c r="BE10" s="27">
        <f>'05_Monthly_Model'!BE10</f>
        <v>6663947.8492068378</v>
      </c>
      <c r="BF10" s="27">
        <f>'05_Monthly_Model'!BF10</f>
        <v>6730587.327698906</v>
      </c>
      <c r="BG10" s="27">
        <f>'05_Monthly_Model'!BG10</f>
        <v>6797893.2009758949</v>
      </c>
      <c r="BH10" s="27">
        <f>'05_Monthly_Model'!BH10</f>
        <v>6865872.1329856543</v>
      </c>
      <c r="BI10" s="27">
        <f>'05_Monthly_Model'!BI10</f>
        <v>6934530.854315511</v>
      </c>
      <c r="BJ10" s="27">
        <f>'05_Monthly_Model'!BJ10</f>
        <v>7003876.1628586659</v>
      </c>
      <c r="BK10" s="27">
        <f>'05_Monthly_Model'!BK10</f>
        <v>7073914.9244872527</v>
      </c>
      <c r="BL10" s="27">
        <f>'05_Monthly_Model'!BL10</f>
        <v>7144654.0737321256</v>
      </c>
      <c r="BM10" s="27">
        <f>'05_Monthly_Model'!BM10</f>
        <v>7216100.6144694472</v>
      </c>
      <c r="BN10" s="27">
        <f>'05_Monthly_Model'!BN10</f>
        <v>7288261.6206141422</v>
      </c>
      <c r="BO10" s="27">
        <f>'05_Monthly_Model'!BO10</f>
        <v>7361144.2368202833</v>
      </c>
      <c r="BP10" s="27">
        <f>'05_Monthly_Model'!BP10</f>
        <v>7434755.6791884862</v>
      </c>
      <c r="BQ10" s="27">
        <f>'05_Monthly_Model'!BQ10</f>
        <v>7509103.235980371</v>
      </c>
      <c r="BR10" s="27">
        <f>'05_Monthly_Model'!BR10</f>
        <v>7584194.268340175</v>
      </c>
      <c r="BS10" s="27">
        <f>'05_Monthly_Model'!BS10</f>
        <v>7660036.2110235766</v>
      </c>
      <c r="BT10" s="27">
        <f>'05_Monthly_Model'!BT10</f>
        <v>7736636.5731338123</v>
      </c>
      <c r="BU10" s="27">
        <f>'05_Monthly_Model'!BU10</f>
        <v>7814002.9388651503</v>
      </c>
      <c r="BV10" s="27">
        <f>'05_Monthly_Model'!BV10</f>
        <v>7892142.9682538016</v>
      </c>
      <c r="BW10" s="27">
        <f>'05_Monthly_Model'!BW10</f>
        <v>7971064.3979363395</v>
      </c>
      <c r="BX10" s="27">
        <f>'05_Monthly_Model'!BX10</f>
        <v>8050775.0419157026</v>
      </c>
      <c r="BY10" s="27">
        <f>'05_Monthly_Model'!BY10</f>
        <v>8131282.7923348602</v>
      </c>
      <c r="BZ10" s="27">
        <f>'05_Monthly_Model'!BZ10</f>
        <v>8212595.6202582093</v>
      </c>
      <c r="CA10" s="27">
        <f>'05_Monthly_Model'!CA10</f>
        <v>8294721.5764607918</v>
      </c>
      <c r="CB10" s="27">
        <f>'05_Monthly_Model'!CB10</f>
        <v>8377668.7922254</v>
      </c>
      <c r="CC10" s="27">
        <f>'05_Monthly_Model'!CC10</f>
        <v>8461445.4801476542</v>
      </c>
      <c r="CD10" s="27">
        <f>'05_Monthly_Model'!CD10</f>
        <v>8546059.9349491317</v>
      </c>
      <c r="CE10" s="27">
        <f>'05_Monthly_Model'!CE10</f>
        <v>8631520.534298623</v>
      </c>
      <c r="CF10" s="27">
        <f>'05_Monthly_Model'!CF10</f>
        <v>8717835.7396416087</v>
      </c>
      <c r="CG10" s="27">
        <f>'05_Monthly_Model'!CG10</f>
        <v>8805014.097038025</v>
      </c>
    </row>
    <row r="11" spans="1:85" x14ac:dyDescent="0.3">
      <c r="A11" s="96"/>
      <c r="B11" s="2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</row>
    <row r="12" spans="1:85" x14ac:dyDescent="0.3">
      <c r="A12" s="23" t="s">
        <v>247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5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</row>
    <row r="13" spans="1:85" x14ac:dyDescent="0.3">
      <c r="A13" s="26" t="s">
        <v>1</v>
      </c>
      <c r="B13" s="27">
        <f>'05_Monthly_Model'!B19</f>
        <v>4641129.1000000006</v>
      </c>
      <c r="C13" s="27">
        <f>'05_Monthly_Model'!C19</f>
        <v>4731102.6499999994</v>
      </c>
      <c r="D13" s="27">
        <f>'05_Monthly_Model'!D19</f>
        <v>4807431.4200000009</v>
      </c>
      <c r="E13" s="27">
        <f>'05_Monthly_Model'!E19</f>
        <v>4868707.2100000009</v>
      </c>
      <c r="F13" s="27">
        <f>'05_Monthly_Model'!F19</f>
        <v>4929130.58</v>
      </c>
      <c r="G13" s="27">
        <f>'05_Monthly_Model'!G19</f>
        <v>4974433.37</v>
      </c>
      <c r="H13" s="27">
        <f>'05_Monthly_Model'!H19</f>
        <v>5078536.9500000011</v>
      </c>
      <c r="I13" s="27">
        <f>'05_Monthly_Model'!I19</f>
        <v>5101870.17</v>
      </c>
      <c r="J13" s="27">
        <f>'05_Monthly_Model'!J19</f>
        <v>5180494.3099999996</v>
      </c>
      <c r="K13" s="27">
        <f>'05_Monthly_Model'!K19</f>
        <v>5252380.18</v>
      </c>
      <c r="L13" s="27">
        <f>'05_Monthly_Model'!L19</f>
        <v>5366818.25</v>
      </c>
      <c r="M13" s="27">
        <f>'05_Monthly_Model'!M19</f>
        <v>5390038.7999999998</v>
      </c>
      <c r="N13" s="27">
        <f>'05_Monthly_Model'!N19</f>
        <v>5441776.8500000006</v>
      </c>
      <c r="O13" s="27">
        <f>'05_Monthly_Model'!O19</f>
        <v>5549098.9000000004</v>
      </c>
      <c r="P13" s="27">
        <f>'05_Monthly_Model'!P19</f>
        <v>5583951.7800000003</v>
      </c>
      <c r="Q13" s="27">
        <f>'05_Monthly_Model'!Q19</f>
        <v>5651568.6500000004</v>
      </c>
      <c r="R13" s="27">
        <f>'05_Monthly_Model'!R19</f>
        <v>5807352.8200000003</v>
      </c>
      <c r="S13" s="27">
        <f>'05_Monthly_Model'!S19</f>
        <v>5904117.4299999997</v>
      </c>
      <c r="T13" s="27">
        <f>'05_Monthly_Model'!T19</f>
        <v>5952167.6600000001</v>
      </c>
      <c r="U13" s="27">
        <f>'05_Monthly_Model'!U19</f>
        <v>6093331.830000001</v>
      </c>
      <c r="V13" s="27">
        <f>'05_Monthly_Model'!V19</f>
        <v>6263049.2199999997</v>
      </c>
      <c r="W13" s="27">
        <f>'05_Monthly_Model'!W19</f>
        <v>6330825.9299999997</v>
      </c>
      <c r="X13" s="27">
        <f>'05_Monthly_Model'!X19</f>
        <v>6383200.4299999997</v>
      </c>
      <c r="Y13" s="27">
        <f>'05_Monthly_Model'!Y19</f>
        <v>6471488.5699999994</v>
      </c>
      <c r="Z13" s="27">
        <f>'05_Monthly_Model'!Z19</f>
        <v>6543292.5699999994</v>
      </c>
      <c r="AA13" s="27">
        <f>'05_Monthly_Model'!AA19</f>
        <v>6555501.7699999996</v>
      </c>
      <c r="AB13" s="27">
        <f>'05_Monthly_Model'!AB19</f>
        <v>6630713.8200000012</v>
      </c>
      <c r="AC13" s="27">
        <f>'05_Monthly_Model'!AC19</f>
        <v>6707394.5600000005</v>
      </c>
      <c r="AD13" s="27">
        <f>'05_Monthly_Model'!AD19</f>
        <v>6847152.3900000006</v>
      </c>
      <c r="AE13" s="27">
        <f>'05_Monthly_Model'!AE19</f>
        <v>6984886.4199999999</v>
      </c>
      <c r="AF13" s="27">
        <f>'05_Monthly_Model'!AF19</f>
        <v>7080832.7999999989</v>
      </c>
      <c r="AG13" s="27">
        <f>'05_Monthly_Model'!AG19</f>
        <v>7173988.1500000004</v>
      </c>
      <c r="AH13" s="27">
        <f>'05_Monthly_Model'!AH19</f>
        <v>7283674.1899999995</v>
      </c>
      <c r="AI13" s="27">
        <f>'05_Monthly_Model'!AI19</f>
        <v>7354067.54</v>
      </c>
      <c r="AJ13" s="27">
        <f>'05_Monthly_Model'!AJ19</f>
        <v>7457923.1699999999</v>
      </c>
      <c r="AK13" s="27">
        <f>'05_Monthly_Model'!AK19</f>
        <v>7533177.6399999987</v>
      </c>
      <c r="AL13" s="27">
        <f>'05_Monthly_Model'!AL19</f>
        <v>7616787.2600000007</v>
      </c>
      <c r="AM13" s="27">
        <f>'05_Monthly_Model'!AM19</f>
        <v>7615783.0899999999</v>
      </c>
      <c r="AN13" s="27">
        <f>'05_Monthly_Model'!AN19</f>
        <v>7599129.6400000006</v>
      </c>
      <c r="AO13" s="27">
        <f>'05_Monthly_Model'!AO19</f>
        <v>7618267.2399999993</v>
      </c>
      <c r="AP13" s="27">
        <f>'05_Monthly_Model'!AP19</f>
        <v>7621982.7300000004</v>
      </c>
      <c r="AQ13" s="27">
        <f>'05_Monthly_Model'!AQ19</f>
        <v>7655791.1799999997</v>
      </c>
      <c r="AR13" s="27">
        <f>'05_Monthly_Model'!AR19</f>
        <v>7732349.0917999996</v>
      </c>
      <c r="AS13" s="27">
        <f>'05_Monthly_Model'!AS19</f>
        <v>7809672.5827179998</v>
      </c>
      <c r="AT13" s="27">
        <f>'05_Monthly_Model'!AT19</f>
        <v>7887769.3085451797</v>
      </c>
      <c r="AU13" s="27">
        <f>'05_Monthly_Model'!AU19</f>
        <v>7966647.0016306313</v>
      </c>
      <c r="AV13" s="27">
        <f>'05_Monthly_Model'!AV19</f>
        <v>8046313.4716469375</v>
      </c>
      <c r="AW13" s="27">
        <f>'05_Monthly_Model'!AW19</f>
        <v>8126776.6063634073</v>
      </c>
      <c r="AX13" s="27">
        <f>'05_Monthly_Model'!AX19</f>
        <v>8208044.3724270416</v>
      </c>
      <c r="AY13" s="27">
        <f>'05_Monthly_Model'!AY19</f>
        <v>8290124.8161513126</v>
      </c>
      <c r="AZ13" s="27">
        <f>'05_Monthly_Model'!AZ19</f>
        <v>8373026.0643128259</v>
      </c>
      <c r="BA13" s="27">
        <f>'05_Monthly_Model'!BA19</f>
        <v>8456756.3249559551</v>
      </c>
      <c r="BB13" s="27">
        <f>'05_Monthly_Model'!BB19</f>
        <v>8541323.8882055152</v>
      </c>
      <c r="BC13" s="27">
        <f>'05_Monthly_Model'!BC19</f>
        <v>8626737.1270875707</v>
      </c>
      <c r="BD13" s="27">
        <f>'05_Monthly_Model'!BD19</f>
        <v>8713004.4983584471</v>
      </c>
      <c r="BE13" s="27">
        <f>'05_Monthly_Model'!BE19</f>
        <v>8800134.5433420315</v>
      </c>
      <c r="BF13" s="27">
        <f>'05_Monthly_Model'!BF19</f>
        <v>8888135.8887754511</v>
      </c>
      <c r="BG13" s="27">
        <f>'05_Monthly_Model'!BG19</f>
        <v>8977017.2476632055</v>
      </c>
      <c r="BH13" s="27">
        <f>'05_Monthly_Model'!BH19</f>
        <v>9066787.420139838</v>
      </c>
      <c r="BI13" s="27">
        <f>'05_Monthly_Model'!BI19</f>
        <v>9157455.2943412364</v>
      </c>
      <c r="BJ13" s="27">
        <f>'05_Monthly_Model'!BJ19</f>
        <v>9249029.8472846486</v>
      </c>
      <c r="BK13" s="27">
        <f>'05_Monthly_Model'!BK19</f>
        <v>9341520.1457574945</v>
      </c>
      <c r="BL13" s="27">
        <f>'05_Monthly_Model'!BL19</f>
        <v>9434935.3472150695</v>
      </c>
      <c r="BM13" s="27">
        <f>'05_Monthly_Model'!BM19</f>
        <v>9529284.7006872203</v>
      </c>
      <c r="BN13" s="27">
        <f>'05_Monthly_Model'!BN19</f>
        <v>9624577.5476940926</v>
      </c>
      <c r="BO13" s="27">
        <f>'05_Monthly_Model'!BO19</f>
        <v>9720823.3231710345</v>
      </c>
      <c r="BP13" s="27">
        <f>'05_Monthly_Model'!BP19</f>
        <v>9818031.5564027447</v>
      </c>
      <c r="BQ13" s="27">
        <f>'05_Monthly_Model'!BQ19</f>
        <v>9916211.8719667718</v>
      </c>
      <c r="BR13" s="27">
        <f>'05_Monthly_Model'!BR19</f>
        <v>10015373.990686439</v>
      </c>
      <c r="BS13" s="27">
        <f>'05_Monthly_Model'!BS19</f>
        <v>10115527.730593303</v>
      </c>
      <c r="BT13" s="27">
        <f>'05_Monthly_Model'!BT19</f>
        <v>10216683.007899236</v>
      </c>
      <c r="BU13" s="27">
        <f>'05_Monthly_Model'!BU19</f>
        <v>10318849.837978229</v>
      </c>
      <c r="BV13" s="27">
        <f>'05_Monthly_Model'!BV19</f>
        <v>10422038.336358011</v>
      </c>
      <c r="BW13" s="27">
        <f>'05_Monthly_Model'!BW19</f>
        <v>10526258.719721591</v>
      </c>
      <c r="BX13" s="27">
        <f>'05_Monthly_Model'!BX19</f>
        <v>10631521.306918807</v>
      </c>
      <c r="BY13" s="27">
        <f>'05_Monthly_Model'!BY19</f>
        <v>10737836.519987995</v>
      </c>
      <c r="BZ13" s="27">
        <f>'05_Monthly_Model'!BZ19</f>
        <v>10845214.885187875</v>
      </c>
      <c r="CA13" s="27">
        <f>'05_Monthly_Model'!CA19</f>
        <v>10953667.034039754</v>
      </c>
      <c r="CB13" s="27">
        <f>'05_Monthly_Model'!CB19</f>
        <v>11063203.704380153</v>
      </c>
      <c r="CC13" s="27">
        <f>'05_Monthly_Model'!CC19</f>
        <v>11173835.741423955</v>
      </c>
      <c r="CD13" s="27">
        <f>'05_Monthly_Model'!CD19</f>
        <v>11285574.098838195</v>
      </c>
      <c r="CE13" s="27">
        <f>'05_Monthly_Model'!CE19</f>
        <v>11398429.839826576</v>
      </c>
      <c r="CF13" s="27">
        <f>'05_Monthly_Model'!CF19</f>
        <v>11512414.138224842</v>
      </c>
      <c r="CG13" s="27">
        <f>'05_Monthly_Model'!CG19</f>
        <v>11627538.279607091</v>
      </c>
    </row>
    <row r="14" spans="1:85" x14ac:dyDescent="0.3">
      <c r="A14" s="26" t="s">
        <v>248</v>
      </c>
      <c r="B14" s="29">
        <f>'05_Monthly_Model'!B20</f>
        <v>291150.19</v>
      </c>
      <c r="C14" s="29">
        <f>'05_Monthly_Model'!C20</f>
        <v>658218.22</v>
      </c>
      <c r="D14" s="29">
        <f>'05_Monthly_Model'!D20</f>
        <v>560331.14999999991</v>
      </c>
      <c r="E14" s="29">
        <f>'05_Monthly_Model'!E20</f>
        <v>755499.01</v>
      </c>
      <c r="F14" s="29">
        <f>'05_Monthly_Model'!F20</f>
        <v>519926.93</v>
      </c>
      <c r="G14" s="29">
        <f>'05_Monthly_Model'!G20</f>
        <v>679161.62000000011</v>
      </c>
      <c r="H14" s="29">
        <f>'05_Monthly_Model'!H20</f>
        <v>588706.85000000009</v>
      </c>
      <c r="I14" s="29">
        <f>'05_Monthly_Model'!I20</f>
        <v>863983.55999999994</v>
      </c>
      <c r="J14" s="29">
        <f>'05_Monthly_Model'!J20</f>
        <v>360866.05</v>
      </c>
      <c r="K14" s="29">
        <f>'05_Monthly_Model'!K20</f>
        <v>593476.80000000005</v>
      </c>
      <c r="L14" s="29">
        <f>'05_Monthly_Model'!L20</f>
        <v>592750.93000000017</v>
      </c>
      <c r="M14" s="29">
        <f>'05_Monthly_Model'!M20</f>
        <v>469030.83000000007</v>
      </c>
      <c r="N14" s="29">
        <f>'05_Monthly_Model'!N20</f>
        <v>585100.15</v>
      </c>
      <c r="O14" s="29">
        <f>'05_Monthly_Model'!O20</f>
        <v>707690.68000000017</v>
      </c>
      <c r="P14" s="29">
        <f>'05_Monthly_Model'!P20</f>
        <v>602641.83000000007</v>
      </c>
      <c r="Q14" s="29">
        <f>'05_Monthly_Model'!Q20</f>
        <v>332430.28999999998</v>
      </c>
      <c r="R14" s="29">
        <f>'05_Monthly_Model'!R20</f>
        <v>763558.66999999981</v>
      </c>
      <c r="S14" s="29">
        <f>'05_Monthly_Model'!S20</f>
        <v>494151.43999999994</v>
      </c>
      <c r="T14" s="29">
        <f>'05_Monthly_Model'!T20</f>
        <v>416497.7300000001</v>
      </c>
      <c r="U14" s="29">
        <f>'05_Monthly_Model'!U20</f>
        <v>506831.55</v>
      </c>
      <c r="V14" s="29">
        <f>'05_Monthly_Model'!V20</f>
        <v>561291</v>
      </c>
      <c r="W14" s="29">
        <f>'05_Monthly_Model'!W20</f>
        <v>489023.43</v>
      </c>
      <c r="X14" s="29">
        <f>'05_Monthly_Model'!X20</f>
        <v>720788.67</v>
      </c>
      <c r="Y14" s="29">
        <f>'05_Monthly_Model'!Y20</f>
        <v>674099.77</v>
      </c>
      <c r="Z14" s="29">
        <f>'05_Monthly_Model'!Z20</f>
        <v>486151.93</v>
      </c>
      <c r="AA14" s="29">
        <f>'05_Monthly_Model'!AA20</f>
        <v>441214.71999999997</v>
      </c>
      <c r="AB14" s="29">
        <f>'05_Monthly_Model'!AB20</f>
        <v>600191.23</v>
      </c>
      <c r="AC14" s="29">
        <f>'05_Monthly_Model'!AC20</f>
        <v>491036.46</v>
      </c>
      <c r="AD14" s="29">
        <f>'05_Monthly_Model'!AD20</f>
        <v>644955.55999999994</v>
      </c>
      <c r="AE14" s="29">
        <f>'05_Monthly_Model'!AE20</f>
        <v>576153.92000000004</v>
      </c>
      <c r="AF14" s="29">
        <f>'05_Monthly_Model'!AF20</f>
        <v>948733.53</v>
      </c>
      <c r="AG14" s="29">
        <f>'05_Monthly_Model'!AG20</f>
        <v>489001.28</v>
      </c>
      <c r="AH14" s="29">
        <f>'05_Monthly_Model'!AH20</f>
        <v>695718.92999999993</v>
      </c>
      <c r="AI14" s="29">
        <f>'05_Monthly_Model'!AI20</f>
        <v>785998.78999999992</v>
      </c>
      <c r="AJ14" s="29">
        <f>'05_Monthly_Model'!AJ20</f>
        <v>517771.77999999997</v>
      </c>
      <c r="AK14" s="29">
        <f>'05_Monthly_Model'!AK20</f>
        <v>850105.36</v>
      </c>
      <c r="AL14" s="29">
        <f>'05_Monthly_Model'!AL20</f>
        <v>690369.62</v>
      </c>
      <c r="AM14" s="29">
        <f>'05_Monthly_Model'!AM20</f>
        <v>603062.85</v>
      </c>
      <c r="AN14" s="29">
        <f>'05_Monthly_Model'!AN20</f>
        <v>666471.06999999983</v>
      </c>
      <c r="AO14" s="29">
        <f>'05_Monthly_Model'!AO20</f>
        <v>723987.73999999987</v>
      </c>
      <c r="AP14" s="29">
        <f>'05_Monthly_Model'!AP20</f>
        <v>617207.43999999994</v>
      </c>
      <c r="AQ14" s="29">
        <f>'05_Monthly_Model'!AQ20</f>
        <v>77774.25</v>
      </c>
      <c r="AR14" s="29">
        <f>'05_Monthly_Model'!AR20</f>
        <v>78396.444000000003</v>
      </c>
      <c r="AS14" s="29">
        <f>'05_Monthly_Model'!AS20</f>
        <v>79023.615552000003</v>
      </c>
      <c r="AT14" s="29">
        <f>'05_Monthly_Model'!AT20</f>
        <v>79655.804476416</v>
      </c>
      <c r="AU14" s="29">
        <f>'05_Monthly_Model'!AU20</f>
        <v>80293.050912227336</v>
      </c>
      <c r="AV14" s="29">
        <f>'05_Monthly_Model'!AV20</f>
        <v>80935.395319525152</v>
      </c>
      <c r="AW14" s="29">
        <f>'05_Monthly_Model'!AW20</f>
        <v>81582.87848208136</v>
      </c>
      <c r="AX14" s="29">
        <f>'05_Monthly_Model'!AX20</f>
        <v>82235.541509938004</v>
      </c>
      <c r="AY14" s="29">
        <f>'05_Monthly_Model'!AY20</f>
        <v>82893.425842017503</v>
      </c>
      <c r="AZ14" s="29">
        <f>'05_Monthly_Model'!AZ20</f>
        <v>83556.573248753644</v>
      </c>
      <c r="BA14" s="29">
        <f>'05_Monthly_Model'!BA20</f>
        <v>84225.025834743676</v>
      </c>
      <c r="BB14" s="29">
        <f>'05_Monthly_Model'!BB20</f>
        <v>84898.82604142162</v>
      </c>
      <c r="BC14" s="29">
        <f>'05_Monthly_Model'!BC20</f>
        <v>85578.016649753001</v>
      </c>
      <c r="BD14" s="29">
        <f>'05_Monthly_Model'!BD20</f>
        <v>86262.640782951028</v>
      </c>
      <c r="BE14" s="29">
        <f>'05_Monthly_Model'!BE20</f>
        <v>86952.74190921463</v>
      </c>
      <c r="BF14" s="29">
        <f>'05_Monthly_Model'!BF20</f>
        <v>87648.363844488355</v>
      </c>
      <c r="BG14" s="29">
        <f>'05_Monthly_Model'!BG20</f>
        <v>88349.550755244258</v>
      </c>
      <c r="BH14" s="29">
        <f>'05_Monthly_Model'!BH20</f>
        <v>89056.347161286219</v>
      </c>
      <c r="BI14" s="29">
        <f>'05_Monthly_Model'!BI20</f>
        <v>89768.797938576507</v>
      </c>
      <c r="BJ14" s="29">
        <f>'05_Monthly_Model'!BJ20</f>
        <v>90486.948322085125</v>
      </c>
      <c r="BK14" s="29">
        <f>'05_Monthly_Model'!BK20</f>
        <v>91210.843908661802</v>
      </c>
      <c r="BL14" s="29">
        <f>'05_Monthly_Model'!BL20</f>
        <v>91940.530659931101</v>
      </c>
      <c r="BM14" s="29">
        <f>'05_Monthly_Model'!BM20</f>
        <v>92676.054905210549</v>
      </c>
      <c r="BN14" s="29">
        <f>'05_Monthly_Model'!BN20</f>
        <v>93417.463344452233</v>
      </c>
      <c r="BO14" s="29">
        <f>'05_Monthly_Model'!BO20</f>
        <v>94164.803051207855</v>
      </c>
      <c r="BP14" s="29">
        <f>'05_Monthly_Model'!BP20</f>
        <v>94918.121475617518</v>
      </c>
      <c r="BQ14" s="29">
        <f>'05_Monthly_Model'!BQ20</f>
        <v>95677.466447422456</v>
      </c>
      <c r="BR14" s="29">
        <f>'05_Monthly_Model'!BR20</f>
        <v>96442.886179001842</v>
      </c>
      <c r="BS14" s="29">
        <f>'05_Monthly_Model'!BS20</f>
        <v>97214.429268433858</v>
      </c>
      <c r="BT14" s="29">
        <f>'05_Monthly_Model'!BT20</f>
        <v>97992.144702581325</v>
      </c>
      <c r="BU14" s="29">
        <f>'05_Monthly_Model'!BU20</f>
        <v>98776.081860201972</v>
      </c>
      <c r="BV14" s="29">
        <f>'05_Monthly_Model'!BV20</f>
        <v>99566.290515083587</v>
      </c>
      <c r="BW14" s="29">
        <f>'05_Monthly_Model'!BW20</f>
        <v>100362.82083920426</v>
      </c>
      <c r="BX14" s="29">
        <f>'05_Monthly_Model'!BX20</f>
        <v>101165.72340591789</v>
      </c>
      <c r="BY14" s="29">
        <f>'05_Monthly_Model'!BY20</f>
        <v>101975.04919316524</v>
      </c>
      <c r="BZ14" s="29">
        <f>'05_Monthly_Model'!BZ20</f>
        <v>102790.84958671055</v>
      </c>
      <c r="CA14" s="29">
        <f>'05_Monthly_Model'!CA20</f>
        <v>103613.17638340424</v>
      </c>
      <c r="CB14" s="29">
        <f>'05_Monthly_Model'!CB20</f>
        <v>104442.08179447147</v>
      </c>
      <c r="CC14" s="29">
        <f>'05_Monthly_Model'!CC20</f>
        <v>105277.61844882724</v>
      </c>
      <c r="CD14" s="29">
        <f>'05_Monthly_Model'!CD20</f>
        <v>106119.83939641785</v>
      </c>
      <c r="CE14" s="29">
        <f>'05_Monthly_Model'!CE20</f>
        <v>106968.7981115892</v>
      </c>
      <c r="CF14" s="29">
        <f>'05_Monthly_Model'!CF20</f>
        <v>107824.54849648192</v>
      </c>
      <c r="CG14" s="29">
        <f>'05_Monthly_Model'!CG20</f>
        <v>108687.14488445378</v>
      </c>
    </row>
    <row r="15" spans="1:85" x14ac:dyDescent="0.3">
      <c r="A15" s="26" t="s">
        <v>143</v>
      </c>
      <c r="B15" s="27">
        <f>'05_Monthly_Model'!B21</f>
        <v>4932279.290000001</v>
      </c>
      <c r="C15" s="27">
        <f>'05_Monthly_Model'!C21</f>
        <v>5389320.8699999992</v>
      </c>
      <c r="D15" s="27">
        <f>'05_Monthly_Model'!D21</f>
        <v>5367762.57</v>
      </c>
      <c r="E15" s="27">
        <f>'05_Monthly_Model'!E21</f>
        <v>5624206.2200000007</v>
      </c>
      <c r="F15" s="27">
        <f>'05_Monthly_Model'!F21</f>
        <v>5449057.5099999998</v>
      </c>
      <c r="G15" s="27">
        <f>'05_Monthly_Model'!G21</f>
        <v>5653594.9900000002</v>
      </c>
      <c r="H15" s="27">
        <f>'05_Monthly_Model'!H21</f>
        <v>5667243.8000000007</v>
      </c>
      <c r="I15" s="27">
        <f>'05_Monthly_Model'!I21</f>
        <v>5965853.7299999995</v>
      </c>
      <c r="J15" s="27">
        <f>'05_Monthly_Model'!J21</f>
        <v>5541360.3599999994</v>
      </c>
      <c r="K15" s="27">
        <f>'05_Monthly_Model'!K21</f>
        <v>5845856.9799999995</v>
      </c>
      <c r="L15" s="27">
        <f>'05_Monthly_Model'!L21</f>
        <v>5959569.1799999997</v>
      </c>
      <c r="M15" s="27">
        <f>'05_Monthly_Model'!M21</f>
        <v>5859069.6299999999</v>
      </c>
      <c r="N15" s="27">
        <f>'05_Monthly_Model'!N21</f>
        <v>6026877.0000000009</v>
      </c>
      <c r="O15" s="27">
        <f>'05_Monthly_Model'!O21</f>
        <v>6256789.5800000001</v>
      </c>
      <c r="P15" s="27">
        <f>'05_Monthly_Model'!P21</f>
        <v>6186593.6100000003</v>
      </c>
      <c r="Q15" s="27">
        <f>'05_Monthly_Model'!Q21</f>
        <v>5983998.9400000004</v>
      </c>
      <c r="R15" s="27">
        <f>'05_Monthly_Model'!R21</f>
        <v>6570911.4900000002</v>
      </c>
      <c r="S15" s="27">
        <f>'05_Monthly_Model'!S21</f>
        <v>6398268.8699999992</v>
      </c>
      <c r="T15" s="27">
        <f>'05_Monthly_Model'!T21</f>
        <v>6368665.3900000006</v>
      </c>
      <c r="U15" s="27">
        <f>'05_Monthly_Model'!U21</f>
        <v>6600163.3800000008</v>
      </c>
      <c r="V15" s="27">
        <f>'05_Monthly_Model'!V21</f>
        <v>6824340.2199999997</v>
      </c>
      <c r="W15" s="27">
        <f>'05_Monthly_Model'!W21</f>
        <v>6819849.3599999994</v>
      </c>
      <c r="X15" s="27">
        <f>'05_Monthly_Model'!X21</f>
        <v>7103989.0999999996</v>
      </c>
      <c r="Y15" s="27">
        <f>'05_Monthly_Model'!Y21</f>
        <v>7145588.3399999999</v>
      </c>
      <c r="Z15" s="27">
        <f>'05_Monthly_Model'!Z21</f>
        <v>7029444.4999999991</v>
      </c>
      <c r="AA15" s="27">
        <f>'05_Monthly_Model'!AA21</f>
        <v>6996716.4899999993</v>
      </c>
      <c r="AB15" s="27">
        <f>'05_Monthly_Model'!AB21</f>
        <v>7230905.0500000007</v>
      </c>
      <c r="AC15" s="27">
        <f>'05_Monthly_Model'!AC21</f>
        <v>7198431.0200000005</v>
      </c>
      <c r="AD15" s="27">
        <f>'05_Monthly_Model'!AD21</f>
        <v>7492107.9500000002</v>
      </c>
      <c r="AE15" s="27">
        <f>'05_Monthly_Model'!AE21</f>
        <v>7561040.3399999999</v>
      </c>
      <c r="AF15" s="27">
        <f>'05_Monthly_Model'!AF21</f>
        <v>8029566.3299999991</v>
      </c>
      <c r="AG15" s="27">
        <f>'05_Monthly_Model'!AG21</f>
        <v>7662989.4300000006</v>
      </c>
      <c r="AH15" s="27">
        <f>'05_Monthly_Model'!AH21</f>
        <v>7979393.1199999992</v>
      </c>
      <c r="AI15" s="27">
        <f>'05_Monthly_Model'!AI21</f>
        <v>8140066.3300000001</v>
      </c>
      <c r="AJ15" s="27">
        <f>'05_Monthly_Model'!AJ21</f>
        <v>7975694.9500000002</v>
      </c>
      <c r="AK15" s="27">
        <f>'05_Monthly_Model'!AK21</f>
        <v>8383282.9999999991</v>
      </c>
      <c r="AL15" s="27">
        <f>'05_Monthly_Model'!AL21</f>
        <v>8307156.8800000008</v>
      </c>
      <c r="AM15" s="27">
        <f>'05_Monthly_Model'!AM21</f>
        <v>8218845.9399999995</v>
      </c>
      <c r="AN15" s="27">
        <f>'05_Monthly_Model'!AN21</f>
        <v>8265600.7100000009</v>
      </c>
      <c r="AO15" s="27">
        <f>'05_Monthly_Model'!AO21</f>
        <v>8342254.9799999995</v>
      </c>
      <c r="AP15" s="27">
        <f>'05_Monthly_Model'!AP21</f>
        <v>8239190.1699999999</v>
      </c>
      <c r="AQ15" s="27">
        <f>'05_Monthly_Model'!AQ21</f>
        <v>7733565.4299999997</v>
      </c>
      <c r="AR15" s="27">
        <f>'05_Monthly_Model'!AR21</f>
        <v>7810745.5357999997</v>
      </c>
      <c r="AS15" s="27">
        <f>'05_Monthly_Model'!AS21</f>
        <v>7888696.1982699996</v>
      </c>
      <c r="AT15" s="27">
        <f>'05_Monthly_Model'!AT21</f>
        <v>7967425.1130215954</v>
      </c>
      <c r="AU15" s="27">
        <f>'05_Monthly_Model'!AU21</f>
        <v>8046940.0525428588</v>
      </c>
      <c r="AV15" s="27">
        <f>'05_Monthly_Model'!AV21</f>
        <v>8127248.8669664627</v>
      </c>
      <c r="AW15" s="27">
        <f>'05_Monthly_Model'!AW21</f>
        <v>8208359.4848454883</v>
      </c>
      <c r="AX15" s="27">
        <f>'05_Monthly_Model'!AX21</f>
        <v>8290279.9139369801</v>
      </c>
      <c r="AY15" s="27">
        <f>'05_Monthly_Model'!AY21</f>
        <v>8373018.2419933304</v>
      </c>
      <c r="AZ15" s="27">
        <f>'05_Monthly_Model'!AZ21</f>
        <v>8456582.6375615802</v>
      </c>
      <c r="BA15" s="27">
        <f>'05_Monthly_Model'!BA21</f>
        <v>8540981.3507906981</v>
      </c>
      <c r="BB15" s="27">
        <f>'05_Monthly_Model'!BB21</f>
        <v>8626222.7142469361</v>
      </c>
      <c r="BC15" s="27">
        <f>'05_Monthly_Model'!BC21</f>
        <v>8712315.1437373236</v>
      </c>
      <c r="BD15" s="27">
        <f>'05_Monthly_Model'!BD21</f>
        <v>8799267.1391413976</v>
      </c>
      <c r="BE15" s="27">
        <f>'05_Monthly_Model'!BE21</f>
        <v>8887087.2852512468</v>
      </c>
      <c r="BF15" s="27">
        <f>'05_Monthly_Model'!BF21</f>
        <v>8975784.2526199389</v>
      </c>
      <c r="BG15" s="27">
        <f>'05_Monthly_Model'!BG21</f>
        <v>9065366.7984184492</v>
      </c>
      <c r="BH15" s="27">
        <f>'05_Monthly_Model'!BH21</f>
        <v>9155843.7673011236</v>
      </c>
      <c r="BI15" s="27">
        <f>'05_Monthly_Model'!BI21</f>
        <v>9247224.0922798123</v>
      </c>
      <c r="BJ15" s="27">
        <f>'05_Monthly_Model'!BJ21</f>
        <v>9339516.7956067342</v>
      </c>
      <c r="BK15" s="27">
        <f>'05_Monthly_Model'!BK21</f>
        <v>9432730.9896661565</v>
      </c>
      <c r="BL15" s="27">
        <f>'05_Monthly_Model'!BL21</f>
        <v>9526875.8778750002</v>
      </c>
      <c r="BM15" s="27">
        <f>'05_Monthly_Model'!BM21</f>
        <v>9621960.75559243</v>
      </c>
      <c r="BN15" s="27">
        <f>'05_Monthly_Model'!BN21</f>
        <v>9717995.0110385455</v>
      </c>
      <c r="BO15" s="27">
        <f>'05_Monthly_Model'!BO21</f>
        <v>9814988.1262222417</v>
      </c>
      <c r="BP15" s="27">
        <f>'05_Monthly_Model'!BP21</f>
        <v>9912949.6778783631</v>
      </c>
      <c r="BQ15" s="27">
        <f>'05_Monthly_Model'!BQ21</f>
        <v>10011889.338414194</v>
      </c>
      <c r="BR15" s="27">
        <f>'05_Monthly_Model'!BR21</f>
        <v>10111816.876865441</v>
      </c>
      <c r="BS15" s="27">
        <f>'05_Monthly_Model'!BS21</f>
        <v>10212742.159861738</v>
      </c>
      <c r="BT15" s="27">
        <f>'05_Monthly_Model'!BT21</f>
        <v>10314675.152601818</v>
      </c>
      <c r="BU15" s="27">
        <f>'05_Monthly_Model'!BU21</f>
        <v>10417625.91983843</v>
      </c>
      <c r="BV15" s="27">
        <f>'05_Monthly_Model'!BV21</f>
        <v>10521604.626873095</v>
      </c>
      <c r="BW15" s="27">
        <f>'05_Monthly_Model'!BW21</f>
        <v>10626621.540560795</v>
      </c>
      <c r="BX15" s="27">
        <f>'05_Monthly_Model'!BX21</f>
        <v>10732687.030324725</v>
      </c>
      <c r="BY15" s="27">
        <f>'05_Monthly_Model'!BY21</f>
        <v>10839811.569181159</v>
      </c>
      <c r="BZ15" s="27">
        <f>'05_Monthly_Model'!BZ21</f>
        <v>10948005.734774586</v>
      </c>
      <c r="CA15" s="27">
        <f>'05_Monthly_Model'!CA21</f>
        <v>11057280.210423158</v>
      </c>
      <c r="CB15" s="27">
        <f>'05_Monthly_Model'!CB21</f>
        <v>11167645.786174623</v>
      </c>
      <c r="CC15" s="27">
        <f>'05_Monthly_Model'!CC21</f>
        <v>11279113.359872783</v>
      </c>
      <c r="CD15" s="27">
        <f>'05_Monthly_Model'!CD21</f>
        <v>11391693.938234612</v>
      </c>
      <c r="CE15" s="27">
        <f>'05_Monthly_Model'!CE21</f>
        <v>11505398.637938166</v>
      </c>
      <c r="CF15" s="27">
        <f>'05_Monthly_Model'!CF21</f>
        <v>11620238.686721323</v>
      </c>
      <c r="CG15" s="27">
        <f>'05_Monthly_Model'!CG21</f>
        <v>11736225.424491545</v>
      </c>
    </row>
    <row r="16" spans="1:85" x14ac:dyDescent="0.3">
      <c r="A16" s="26" t="s">
        <v>249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</row>
    <row r="17" spans="1:85" x14ac:dyDescent="0.3">
      <c r="A17" s="26" t="s">
        <v>31</v>
      </c>
      <c r="B17" s="27">
        <f>'05_Monthly_Model'!B23</f>
        <v>-3465652.8600000008</v>
      </c>
      <c r="C17" s="27">
        <f>'05_Monthly_Model'!C23</f>
        <v>-3747605.9299999988</v>
      </c>
      <c r="D17" s="27">
        <f>'05_Monthly_Model'!D23</f>
        <v>-3450043.9399999995</v>
      </c>
      <c r="E17" s="27">
        <f>'05_Monthly_Model'!E23</f>
        <v>-3501321.5199999968</v>
      </c>
      <c r="F17" s="27">
        <f>'05_Monthly_Model'!F23</f>
        <v>-3075286.54</v>
      </c>
      <c r="G17" s="27">
        <f>'05_Monthly_Model'!G23</f>
        <v>-3029531.4700000007</v>
      </c>
      <c r="H17" s="27">
        <f>'05_Monthly_Model'!H23</f>
        <v>-2767881.0400000033</v>
      </c>
      <c r="I17" s="27">
        <f>'05_Monthly_Model'!I23</f>
        <v>-2802651.1299999994</v>
      </c>
      <c r="J17" s="27">
        <f>'05_Monthly_Model'!J23</f>
        <v>-2167925.2500000047</v>
      </c>
      <c r="K17" s="27">
        <f>'05_Monthly_Model'!K23</f>
        <v>-2206003.9499999993</v>
      </c>
      <c r="L17" s="27">
        <f>'05_Monthly_Model'!L23</f>
        <v>-2189523.4000000097</v>
      </c>
      <c r="M17" s="27">
        <f>'05_Monthly_Model'!M23</f>
        <v>-1753683.2499999912</v>
      </c>
      <c r="N17" s="27">
        <f>'05_Monthly_Model'!N23</f>
        <v>-1831760.7299999893</v>
      </c>
      <c r="O17" s="27">
        <f>'05_Monthly_Model'!O23</f>
        <v>-2151418.0699999789</v>
      </c>
      <c r="P17" s="27">
        <f>'05_Monthly_Model'!P23</f>
        <v>-1815737.3299999908</v>
      </c>
      <c r="Q17" s="27">
        <f>'05_Monthly_Model'!Q23</f>
        <v>-1630202.0700000152</v>
      </c>
      <c r="R17" s="27">
        <f>'05_Monthly_Model'!R23</f>
        <v>-1993262.7200000091</v>
      </c>
      <c r="S17" s="27">
        <f>'05_Monthly_Model'!S23</f>
        <v>-1852795.4200000102</v>
      </c>
      <c r="T17" s="27">
        <f>'05_Monthly_Model'!T23</f>
        <v>-1649489.3500000201</v>
      </c>
      <c r="U17" s="27">
        <f>'05_Monthly_Model'!U23</f>
        <v>-1756481.8000000268</v>
      </c>
      <c r="V17" s="27">
        <f>'05_Monthly_Model'!V23</f>
        <v>-2006333.5500000101</v>
      </c>
      <c r="W17" s="27">
        <f>'05_Monthly_Model'!W23</f>
        <v>-1800694.0500000222</v>
      </c>
      <c r="X17" s="27">
        <f>'05_Monthly_Model'!X23</f>
        <v>-2116163.0300000068</v>
      </c>
      <c r="Y17" s="27">
        <f>'05_Monthly_Model'!Y23</f>
        <v>-1978053.7600000352</v>
      </c>
      <c r="Z17" s="27">
        <f>'05_Monthly_Model'!Z23</f>
        <v>-1759414.0500000417</v>
      </c>
      <c r="AA17" s="27">
        <f>'05_Monthly_Model'!AA23</f>
        <v>-1998558.0199999986</v>
      </c>
      <c r="AB17" s="27">
        <f>'05_Monthly_Model'!AB23</f>
        <v>-1856025.6500000339</v>
      </c>
      <c r="AC17" s="27">
        <f>'05_Monthly_Model'!AC23</f>
        <v>-1874339.1300000129</v>
      </c>
      <c r="AD17" s="27">
        <f>'05_Monthly_Model'!AD23</f>
        <v>-1986320.49000003</v>
      </c>
      <c r="AE17" s="27">
        <f>'05_Monthly_Model'!AE23</f>
        <v>-2146968.1400000006</v>
      </c>
      <c r="AF17" s="27">
        <f>'05_Monthly_Model'!AF23</f>
        <v>-2405544.9800000172</v>
      </c>
      <c r="AG17" s="27">
        <f>'05_Monthly_Model'!AG23</f>
        <v>-1961719.690000033</v>
      </c>
      <c r="AH17" s="27">
        <f>'05_Monthly_Model'!AH23</f>
        <v>-2357697.4700000109</v>
      </c>
      <c r="AI17" s="27">
        <f>'05_Monthly_Model'!AI23</f>
        <v>-2353771.410000043</v>
      </c>
      <c r="AJ17" s="27">
        <f>'05_Monthly_Model'!AJ23</f>
        <v>-2277515.6000000127</v>
      </c>
      <c r="AK17" s="27">
        <f>'05_Monthly_Model'!AK23</f>
        <v>-2514515.5800000457</v>
      </c>
      <c r="AL17" s="27">
        <f>'05_Monthly_Model'!AL23</f>
        <v>-2379243.7700000443</v>
      </c>
      <c r="AM17" s="27">
        <f>'05_Monthly_Model'!AM23</f>
        <v>-2695165.9300000397</v>
      </c>
      <c r="AN17" s="27">
        <f>'05_Monthly_Model'!AN23</f>
        <v>-2371075.200000043</v>
      </c>
      <c r="AO17" s="27">
        <f>'05_Monthly_Model'!AO23</f>
        <v>-2572239.3100000117</v>
      </c>
      <c r="AP17" s="27">
        <f>'05_Monthly_Model'!AP23</f>
        <v>-2346572.9500000514</v>
      </c>
      <c r="AQ17" s="27">
        <f>'05_Monthly_Model'!AQ23</f>
        <v>-1936177.5700000059</v>
      </c>
      <c r="AR17" s="27">
        <f>'05_Monthly_Model'!AR23</f>
        <v>-1955383.7972000055</v>
      </c>
      <c r="AS17" s="27">
        <f>'05_Monthly_Model'!AS23</f>
        <v>-1974780.8422840051</v>
      </c>
      <c r="AT17" s="27">
        <f>'05_Monthly_Model'!AT23</f>
        <v>-1994370.6034757411</v>
      </c>
      <c r="AU17" s="27">
        <f>'05_Monthly_Model'!AU23</f>
        <v>-2014154.9979015458</v>
      </c>
      <c r="AV17" s="27">
        <f>'05_Monthly_Model'!AV23</f>
        <v>-2034135.9617787367</v>
      </c>
      <c r="AW17" s="27">
        <f>'05_Monthly_Model'!AW23</f>
        <v>-2054315.4506058851</v>
      </c>
      <c r="AX17" s="27">
        <f>'05_Monthly_Model'!AX23</f>
        <v>-2074695.4393549804</v>
      </c>
      <c r="AY17" s="27">
        <f>'05_Monthly_Model'!AY23</f>
        <v>-2095277.9226655103</v>
      </c>
      <c r="AZ17" s="27">
        <f>'05_Monthly_Model'!AZ23</f>
        <v>-2116064.9150404818</v>
      </c>
      <c r="BA17" s="27">
        <f>'05_Monthly_Model'!BA23</f>
        <v>-2137058.451044389</v>
      </c>
      <c r="BB17" s="27">
        <f>'05_Monthly_Model'!BB23</f>
        <v>-2158260.5855031637</v>
      </c>
      <c r="BC17" s="27">
        <f>'05_Monthly_Model'!BC23</f>
        <v>-2179673.3937061131</v>
      </c>
      <c r="BD17" s="27">
        <f>'05_Monthly_Model'!BD23</f>
        <v>-2201298.9716098746</v>
      </c>
      <c r="BE17" s="27">
        <f>'05_Monthly_Model'!BE23</f>
        <v>-2223139.4360444089</v>
      </c>
      <c r="BF17" s="27">
        <f>'05_Monthly_Model'!BF23</f>
        <v>-2245196.924921033</v>
      </c>
      <c r="BG17" s="27">
        <f>'05_Monthly_Model'!BG23</f>
        <v>-2267473.5974425543</v>
      </c>
      <c r="BH17" s="27">
        <f>'05_Monthly_Model'!BH23</f>
        <v>-2289971.6343154693</v>
      </c>
      <c r="BI17" s="27">
        <f>'05_Monthly_Model'!BI23</f>
        <v>-2312693.2379643014</v>
      </c>
      <c r="BJ17" s="27">
        <f>'05_Monthly_Model'!BJ23</f>
        <v>-2335640.6327480683</v>
      </c>
      <c r="BK17" s="27">
        <f>'05_Monthly_Model'!BK23</f>
        <v>-2358816.0651789038</v>
      </c>
      <c r="BL17" s="27">
        <f>'05_Monthly_Model'!BL23</f>
        <v>-2382221.8041428747</v>
      </c>
      <c r="BM17" s="27">
        <f>'05_Monthly_Model'!BM23</f>
        <v>-2405860.1411229828</v>
      </c>
      <c r="BN17" s="27">
        <f>'05_Monthly_Model'!BN23</f>
        <v>-2429733.3904244034</v>
      </c>
      <c r="BO17" s="27">
        <f>'05_Monthly_Model'!BO23</f>
        <v>-2453843.8894019583</v>
      </c>
      <c r="BP17" s="27">
        <f>'05_Monthly_Model'!BP23</f>
        <v>-2478193.9986898769</v>
      </c>
      <c r="BQ17" s="27">
        <f>'05_Monthly_Model'!BQ23</f>
        <v>-2502786.102433823</v>
      </c>
      <c r="BR17" s="27">
        <f>'05_Monthly_Model'!BR23</f>
        <v>-2527622.6085252659</v>
      </c>
      <c r="BS17" s="27">
        <f>'05_Monthly_Model'!BS23</f>
        <v>-2552705.9488381613</v>
      </c>
      <c r="BT17" s="27">
        <f>'05_Monthly_Model'!BT23</f>
        <v>-2578038.5794680053</v>
      </c>
      <c r="BU17" s="27">
        <f>'05_Monthly_Model'!BU23</f>
        <v>-2603622.98097328</v>
      </c>
      <c r="BV17" s="27">
        <f>'05_Monthly_Model'!BV23</f>
        <v>-2629461.658619293</v>
      </c>
      <c r="BW17" s="27">
        <f>'05_Monthly_Model'!BW23</f>
        <v>-2655557.1426244555</v>
      </c>
      <c r="BX17" s="27">
        <f>'05_Monthly_Model'!BX23</f>
        <v>-2681911.9884090228</v>
      </c>
      <c r="BY17" s="27">
        <f>'05_Monthly_Model'!BY23</f>
        <v>-2708528.7768462989</v>
      </c>
      <c r="BZ17" s="27">
        <f>'05_Monthly_Model'!BZ23</f>
        <v>-2735410.1145163765</v>
      </c>
      <c r="CA17" s="27">
        <f>'05_Monthly_Model'!CA23</f>
        <v>-2762558.6339623667</v>
      </c>
      <c r="CB17" s="27">
        <f>'05_Monthly_Model'!CB23</f>
        <v>-2789976.9939492233</v>
      </c>
      <c r="CC17" s="27">
        <f>'05_Monthly_Model'!CC23</f>
        <v>-2817667.8797251284</v>
      </c>
      <c r="CD17" s="27">
        <f>'05_Monthly_Model'!CD23</f>
        <v>-2845634.0032854807</v>
      </c>
      <c r="CE17" s="27">
        <f>'05_Monthly_Model'!CE23</f>
        <v>-2873878.1036395431</v>
      </c>
      <c r="CF17" s="27">
        <f>'05_Monthly_Model'!CF23</f>
        <v>-2902402.9470797144</v>
      </c>
      <c r="CG17" s="27">
        <f>'05_Monthly_Model'!CG23</f>
        <v>-2931211.3274535201</v>
      </c>
    </row>
    <row r="18" spans="1:85" x14ac:dyDescent="0.3">
      <c r="A18" s="26" t="s">
        <v>135</v>
      </c>
      <c r="B18" s="98">
        <f>'05_Monthly_Model'!B25</f>
        <v>-2.3630099588482123</v>
      </c>
      <c r="C18" s="98">
        <f>'05_Monthly_Model'!C25</f>
        <v>-2.2827385185396425</v>
      </c>
      <c r="D18" s="98">
        <f>'05_Monthly_Model'!D25</f>
        <v>-1.7990355237879698</v>
      </c>
      <c r="E18" s="98">
        <f>'05_Monthly_Model'!E25</f>
        <v>-1.6493225091310848</v>
      </c>
      <c r="F18" s="98">
        <f>'05_Monthly_Model'!F25</f>
        <v>-1.2955279084906832</v>
      </c>
      <c r="G18" s="98">
        <f>'05_Monthly_Model'!G25</f>
        <v>-1.1545191063057807</v>
      </c>
      <c r="H18" s="98">
        <f>'05_Monthly_Model'!H25</f>
        <v>-0.95465151107893986</v>
      </c>
      <c r="I18" s="98">
        <f>'05_Monthly_Model'!I25</f>
        <v>-0.88601695319800233</v>
      </c>
      <c r="J18" s="98">
        <f>'05_Monthly_Model'!J25</f>
        <v>-0.64264619869922679</v>
      </c>
      <c r="K18" s="98">
        <f>'05_Monthly_Model'!K25</f>
        <v>-0.60606951209785498</v>
      </c>
      <c r="L18" s="98">
        <f>'05_Monthly_Model'!L25</f>
        <v>-0.58076838525817998</v>
      </c>
      <c r="M18" s="98">
        <f>'05_Monthly_Model'!M25</f>
        <v>-0.42716643153085809</v>
      </c>
      <c r="N18" s="98">
        <f>'05_Monthly_Model'!N25</f>
        <v>-0.43664123044675091</v>
      </c>
      <c r="O18" s="98">
        <f>'05_Monthly_Model'!O25</f>
        <v>-0.52404954454413499</v>
      </c>
      <c r="P18" s="98">
        <f>'05_Monthly_Model'!P25</f>
        <v>-0.41541913384532214</v>
      </c>
      <c r="Q18" s="98">
        <f>'05_Monthly_Model'!Q25</f>
        <v>-0.37443227570697868</v>
      </c>
      <c r="R18" s="98">
        <f>'05_Monthly_Model'!R25</f>
        <v>-0.43543373905464855</v>
      </c>
      <c r="S18" s="98">
        <f>'05_Monthly_Model'!S25</f>
        <v>-0.40761329713630046</v>
      </c>
      <c r="T18" s="98">
        <f>'05_Monthly_Model'!T25</f>
        <v>-0.3495290991518144</v>
      </c>
      <c r="U18" s="98">
        <f>'05_Monthly_Model'!U25</f>
        <v>-0.36263362299716578</v>
      </c>
      <c r="V18" s="98">
        <f>'05_Monthly_Model'!V25</f>
        <v>-0.41642398764051825</v>
      </c>
      <c r="W18" s="98">
        <f>'05_Monthly_Model'!W25</f>
        <v>-0.35876436148775603</v>
      </c>
      <c r="X18" s="98">
        <f>'05_Monthly_Model'!X25</f>
        <v>-0.4242656019479063</v>
      </c>
      <c r="Y18" s="98">
        <f>'05_Monthly_Model'!Y25</f>
        <v>-0.38278481341097259</v>
      </c>
      <c r="Z18" s="98">
        <f>'05_Monthly_Model'!Z25</f>
        <v>-0.33385272944676364</v>
      </c>
      <c r="AA18" s="98">
        <f>'05_Monthly_Model'!AA25</f>
        <v>-0.39985887442260276</v>
      </c>
      <c r="AB18" s="98">
        <f>'05_Monthly_Model'!AB25</f>
        <v>-0.34531484557589243</v>
      </c>
      <c r="AC18" s="98">
        <f>'05_Monthly_Model'!AC25</f>
        <v>-0.35204860635867374</v>
      </c>
      <c r="AD18" s="98">
        <f>'05_Monthly_Model'!AD25</f>
        <v>-0.36076955466058636</v>
      </c>
      <c r="AE18" s="98">
        <f>'05_Monthly_Model'!AE25</f>
        <v>-0.39655328940755552</v>
      </c>
      <c r="AF18" s="98">
        <f>'05_Monthly_Model'!AF25</f>
        <v>-0.4277268577581102</v>
      </c>
      <c r="AG18" s="98">
        <f>'05_Monthly_Model'!AG25</f>
        <v>-0.34408470033204291</v>
      </c>
      <c r="AH18" s="98">
        <f>'05_Monthly_Model'!AH25</f>
        <v>-0.41939258486894709</v>
      </c>
      <c r="AI18" s="98">
        <f>'05_Monthly_Model'!AI25</f>
        <v>-0.40678386472566119</v>
      </c>
      <c r="AJ18" s="98">
        <f>'05_Monthly_Model'!AJ25</f>
        <v>-0.39969180682247524</v>
      </c>
      <c r="AK18" s="98">
        <f>'05_Monthly_Model'!AK25</f>
        <v>-0.42845718701186247</v>
      </c>
      <c r="AL18" s="98">
        <f>'05_Monthly_Model'!AL25</f>
        <v>-0.40136279426674348</v>
      </c>
      <c r="AM18" s="98">
        <f>'05_Monthly_Model'!AM25</f>
        <v>-0.48792941030631126</v>
      </c>
      <c r="AN18" s="98">
        <f>'05_Monthly_Model'!AN25</f>
        <v>-0.4022503925002201</v>
      </c>
      <c r="AO18" s="98">
        <f>'05_Monthly_Model'!AO25</f>
        <v>-0.4457941636751252</v>
      </c>
      <c r="AP18" s="98">
        <f>'05_Monthly_Model'!AP25</f>
        <v>-0.39822253209246672</v>
      </c>
      <c r="AQ18" s="98">
        <f>'05_Monthly_Model'!AQ25</f>
        <v>-0.33397413054920355</v>
      </c>
      <c r="AR18" s="98">
        <f>'05_Monthly_Model'!AR25</f>
        <v>-0.33394756540994408</v>
      </c>
      <c r="AS18" s="98">
        <f>'05_Monthly_Model'!AS25</f>
        <v>-0.33392105287492074</v>
      </c>
      <c r="AT18" s="98">
        <f>'05_Monthly_Model'!AT25</f>
        <v>-0.33389459283996686</v>
      </c>
      <c r="AU18" s="98">
        <f>'05_Monthly_Model'!AU25</f>
        <v>-0.33386818520112183</v>
      </c>
      <c r="AV18" s="98">
        <f>'05_Monthly_Model'!AV25</f>
        <v>-0.3338418298546309</v>
      </c>
      <c r="AW18" s="98">
        <f>'05_Monthly_Model'!AW25</f>
        <v>-0.33381552669694498</v>
      </c>
      <c r="AX18" s="98">
        <f>'05_Monthly_Model'!AX25</f>
        <v>-0.33378927562471983</v>
      </c>
      <c r="AY18" s="98">
        <f>'05_Monthly_Model'!AY25</f>
        <v>-0.33376307653481579</v>
      </c>
      <c r="AZ18" s="98">
        <f>'05_Monthly_Model'!AZ25</f>
        <v>-0.33373692932429788</v>
      </c>
      <c r="BA18" s="98">
        <f>'05_Monthly_Model'!BA25</f>
        <v>-0.33371083389043432</v>
      </c>
      <c r="BB18" s="98">
        <f>'05_Monthly_Model'!BB25</f>
        <v>-0.3336847901306973</v>
      </c>
      <c r="BC18" s="98">
        <f>'05_Monthly_Model'!BC25</f>
        <v>-0.33365879794276176</v>
      </c>
      <c r="BD18" s="98">
        <f>'05_Monthly_Model'!BD25</f>
        <v>-0.3336328572245052</v>
      </c>
      <c r="BE18" s="98">
        <f>'05_Monthly_Model'!BE25</f>
        <v>-0.33360696787400779</v>
      </c>
      <c r="BF18" s="98">
        <f>'05_Monthly_Model'!BF25</f>
        <v>-0.33358112978955057</v>
      </c>
      <c r="BG18" s="98">
        <f>'05_Monthly_Model'!BG25</f>
        <v>-0.33355534286961719</v>
      </c>
      <c r="BH18" s="98">
        <f>'05_Monthly_Model'!BH25</f>
        <v>-0.33352960701289164</v>
      </c>
      <c r="BI18" s="98">
        <f>'05_Monthly_Model'!BI25</f>
        <v>-0.33350392211825858</v>
      </c>
      <c r="BJ18" s="98">
        <f>'05_Monthly_Model'!BJ25</f>
        <v>-0.33347828808480323</v>
      </c>
      <c r="BK18" s="98">
        <f>'05_Monthly_Model'!BK25</f>
        <v>-0.33345270481180983</v>
      </c>
      <c r="BL18" s="98">
        <f>'05_Monthly_Model'!BL25</f>
        <v>-0.33342717219876294</v>
      </c>
      <c r="BM18" s="98">
        <f>'05_Monthly_Model'!BM25</f>
        <v>-0.33340169014534593</v>
      </c>
      <c r="BN18" s="98">
        <f>'05_Monthly_Model'!BN25</f>
        <v>-0.33337625855144082</v>
      </c>
      <c r="BO18" s="98">
        <f>'05_Monthly_Model'!BO25</f>
        <v>-0.33335087731712748</v>
      </c>
      <c r="BP18" s="98">
        <f>'05_Monthly_Model'!BP25</f>
        <v>-0.3333255463426843</v>
      </c>
      <c r="BQ18" s="98">
        <f>'05_Monthly_Model'!BQ25</f>
        <v>-0.33330026552858616</v>
      </c>
      <c r="BR18" s="98">
        <f>'05_Monthly_Model'!BR25</f>
        <v>-0.33327503477550613</v>
      </c>
      <c r="BS18" s="98">
        <f>'05_Monthly_Model'!BS25</f>
        <v>-0.33324985398431356</v>
      </c>
      <c r="BT18" s="98">
        <f>'05_Monthly_Model'!BT25</f>
        <v>-0.33322472305607365</v>
      </c>
      <c r="BU18" s="98">
        <f>'05_Monthly_Model'!BU25</f>
        <v>-0.33319964189204815</v>
      </c>
      <c r="BV18" s="98">
        <f>'05_Monthly_Model'!BV25</f>
        <v>-0.33317461039369412</v>
      </c>
      <c r="BW18" s="98">
        <f>'05_Monthly_Model'!BW25</f>
        <v>-0.33314962846266344</v>
      </c>
      <c r="BX18" s="98">
        <f>'05_Monthly_Model'!BX25</f>
        <v>-0.3331246960008033</v>
      </c>
      <c r="BY18" s="98">
        <f>'05_Monthly_Model'!BY25</f>
        <v>-0.33309981291015428</v>
      </c>
      <c r="BZ18" s="98">
        <f>'05_Monthly_Model'!BZ25</f>
        <v>-0.33307497909295253</v>
      </c>
      <c r="CA18" s="98">
        <f>'05_Monthly_Model'!CA25</f>
        <v>-0.33305019445162626</v>
      </c>
      <c r="CB18" s="98">
        <f>'05_Monthly_Model'!CB25</f>
        <v>-0.3330254588887977</v>
      </c>
      <c r="CC18" s="98">
        <f>'05_Monthly_Model'!CC25</f>
        <v>-0.33300077230728187</v>
      </c>
      <c r="CD18" s="98">
        <f>'05_Monthly_Model'!CD25</f>
        <v>-0.33297613461008552</v>
      </c>
      <c r="CE18" s="98">
        <f>'05_Monthly_Model'!CE25</f>
        <v>-0.33295154570040858</v>
      </c>
      <c r="CF18" s="98">
        <f>'05_Monthly_Model'!CF25</f>
        <v>-0.33292700548164178</v>
      </c>
      <c r="CG18" s="98">
        <f>'05_Monthly_Model'!CG25</f>
        <v>-0.3329025138573678</v>
      </c>
    </row>
    <row r="19" spans="1:85" x14ac:dyDescent="0.3">
      <c r="A19" s="96"/>
      <c r="B19" s="98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</row>
    <row r="20" spans="1:85" x14ac:dyDescent="0.3">
      <c r="A20" s="23" t="s">
        <v>250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5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</row>
    <row r="21" spans="1:85" x14ac:dyDescent="0.3">
      <c r="A21" s="26" t="s">
        <v>136</v>
      </c>
      <c r="B21" s="108">
        <f>'05_Monthly_Model'!B26</f>
        <v>452</v>
      </c>
      <c r="C21" s="108">
        <f>'05_Monthly_Model'!C26</f>
        <v>461</v>
      </c>
      <c r="D21" s="108">
        <f>'05_Monthly_Model'!D26</f>
        <v>476</v>
      </c>
      <c r="E21" s="108">
        <f>'05_Monthly_Model'!E26</f>
        <v>487</v>
      </c>
      <c r="F21" s="108">
        <f>'05_Monthly_Model'!F26</f>
        <v>496</v>
      </c>
      <c r="G21" s="108">
        <f>'05_Monthly_Model'!G26</f>
        <v>505</v>
      </c>
      <c r="H21" s="108">
        <f>'05_Monthly_Model'!H26</f>
        <v>513</v>
      </c>
      <c r="I21" s="108">
        <f>'05_Monthly_Model'!I26</f>
        <v>520</v>
      </c>
      <c r="J21" s="108">
        <f>'05_Monthly_Model'!J26</f>
        <v>531</v>
      </c>
      <c r="K21" s="108">
        <f>'05_Monthly_Model'!K26</f>
        <v>536</v>
      </c>
      <c r="L21" s="108">
        <f>'05_Monthly_Model'!L26</f>
        <v>546</v>
      </c>
      <c r="M21" s="108">
        <f>'05_Monthly_Model'!M26</f>
        <v>552</v>
      </c>
      <c r="N21" s="108">
        <f>'05_Monthly_Model'!N26</f>
        <v>564</v>
      </c>
      <c r="O21" s="108">
        <f>'05_Monthly_Model'!O26</f>
        <v>574</v>
      </c>
      <c r="P21" s="108">
        <f>'05_Monthly_Model'!P26</f>
        <v>582</v>
      </c>
      <c r="Q21" s="108">
        <f>'05_Monthly_Model'!Q26</f>
        <v>592</v>
      </c>
      <c r="R21" s="108">
        <f>'05_Monthly_Model'!R26</f>
        <v>609</v>
      </c>
      <c r="S21" s="108">
        <f>'05_Monthly_Model'!S26</f>
        <v>621</v>
      </c>
      <c r="T21" s="108">
        <f>'05_Monthly_Model'!T26</f>
        <v>626</v>
      </c>
      <c r="U21" s="108">
        <f>'05_Monthly_Model'!U26</f>
        <v>636</v>
      </c>
      <c r="V21" s="108">
        <f>'05_Monthly_Model'!V26</f>
        <v>648</v>
      </c>
      <c r="W21" s="108">
        <f>'05_Monthly_Model'!W26</f>
        <v>666</v>
      </c>
      <c r="X21" s="108">
        <f>'05_Monthly_Model'!X26</f>
        <v>676</v>
      </c>
      <c r="Y21" s="108">
        <f>'05_Monthly_Model'!Y26</f>
        <v>685</v>
      </c>
      <c r="Z21" s="108">
        <f>'05_Monthly_Model'!Z26</f>
        <v>695</v>
      </c>
      <c r="AA21" s="108">
        <f>'05_Monthly_Model'!AA26</f>
        <v>701</v>
      </c>
      <c r="AB21" s="108">
        <f>'05_Monthly_Model'!AB26</f>
        <v>721</v>
      </c>
      <c r="AC21" s="108">
        <f>'05_Monthly_Model'!AC26</f>
        <v>729</v>
      </c>
      <c r="AD21" s="108">
        <f>'05_Monthly_Model'!AD26</f>
        <v>739</v>
      </c>
      <c r="AE21" s="108">
        <f>'05_Monthly_Model'!AE26</f>
        <v>753</v>
      </c>
      <c r="AF21" s="108">
        <f>'05_Monthly_Model'!AF26</f>
        <v>765</v>
      </c>
      <c r="AG21" s="108">
        <f>'05_Monthly_Model'!AG26</f>
        <v>778</v>
      </c>
      <c r="AH21" s="108">
        <f>'05_Monthly_Model'!AH26</f>
        <v>792</v>
      </c>
      <c r="AI21" s="108">
        <f>'05_Monthly_Model'!AI26</f>
        <v>804</v>
      </c>
      <c r="AJ21" s="108">
        <f>'05_Monthly_Model'!AJ26</f>
        <v>816</v>
      </c>
      <c r="AK21" s="108">
        <f>'05_Monthly_Model'!AK26</f>
        <v>819</v>
      </c>
      <c r="AL21" s="108">
        <f>'05_Monthly_Model'!AL26</f>
        <v>825</v>
      </c>
      <c r="AM21" s="108">
        <f>'05_Monthly_Model'!AM26</f>
        <v>831</v>
      </c>
      <c r="AN21" s="108">
        <f>'05_Monthly_Model'!AN26</f>
        <v>840</v>
      </c>
      <c r="AO21" s="108">
        <f>'05_Monthly_Model'!AO26</f>
        <v>847</v>
      </c>
      <c r="AP21" s="108">
        <f>'05_Monthly_Model'!AP26</f>
        <v>852</v>
      </c>
      <c r="AQ21" s="108">
        <f>'05_Monthly_Model'!AQ26</f>
        <v>854</v>
      </c>
      <c r="AR21" s="108">
        <f>'05_Monthly_Model'!AR26</f>
        <v>859.12400000000002</v>
      </c>
      <c r="AS21" s="108">
        <f>'05_Monthly_Model'!AS26</f>
        <v>864.27874400000007</v>
      </c>
      <c r="AT21" s="108">
        <f>'05_Monthly_Model'!AT26</f>
        <v>869.46441646400012</v>
      </c>
      <c r="AU21" s="108">
        <f>'05_Monthly_Model'!AU26</f>
        <v>874.68120296278414</v>
      </c>
      <c r="AV21" s="108">
        <f>'05_Monthly_Model'!AV26</f>
        <v>879.92929018056088</v>
      </c>
      <c r="AW21" s="108">
        <f>'05_Monthly_Model'!AW26</f>
        <v>885.20886592164425</v>
      </c>
      <c r="AX21" s="108">
        <f>'05_Monthly_Model'!AX26</f>
        <v>890.52011911717409</v>
      </c>
      <c r="AY21" s="108">
        <f>'05_Monthly_Model'!AY26</f>
        <v>895.86323983187719</v>
      </c>
      <c r="AZ21" s="108">
        <f>'05_Monthly_Model'!AZ26</f>
        <v>901.23841927086846</v>
      </c>
      <c r="BA21" s="108">
        <f>'05_Monthly_Model'!BA26</f>
        <v>906.64584978649373</v>
      </c>
      <c r="BB21" s="108">
        <f>'05_Monthly_Model'!BB26</f>
        <v>912.0857248852127</v>
      </c>
      <c r="BC21" s="108">
        <f>'05_Monthly_Model'!BC26</f>
        <v>917.55823923452397</v>
      </c>
      <c r="BD21" s="108">
        <f>'05_Monthly_Model'!BD26</f>
        <v>923.06358866993116</v>
      </c>
      <c r="BE21" s="108">
        <f>'05_Monthly_Model'!BE26</f>
        <v>928.60197020195073</v>
      </c>
      <c r="BF21" s="108">
        <f>'05_Monthly_Model'!BF26</f>
        <v>934.17358202316245</v>
      </c>
      <c r="BG21" s="108">
        <f>'05_Monthly_Model'!BG26</f>
        <v>939.77862351530143</v>
      </c>
      <c r="BH21" s="108">
        <f>'05_Monthly_Model'!BH26</f>
        <v>945.41729525639323</v>
      </c>
      <c r="BI21" s="108">
        <f>'05_Monthly_Model'!BI26</f>
        <v>951.08979902793158</v>
      </c>
      <c r="BJ21" s="108">
        <f>'05_Monthly_Model'!BJ26</f>
        <v>956.79633782209919</v>
      </c>
      <c r="BK21" s="108">
        <f>'05_Monthly_Model'!BK26</f>
        <v>962.53711584903181</v>
      </c>
      <c r="BL21" s="108">
        <f>'05_Monthly_Model'!BL26</f>
        <v>968.31233854412596</v>
      </c>
      <c r="BM21" s="108">
        <f>'05_Monthly_Model'!BM26</f>
        <v>974.12221257539068</v>
      </c>
      <c r="BN21" s="108">
        <f>'05_Monthly_Model'!BN26</f>
        <v>979.96694585084299</v>
      </c>
      <c r="BO21" s="108">
        <f>'05_Monthly_Model'!BO26</f>
        <v>985.8467475259481</v>
      </c>
      <c r="BP21" s="108">
        <f>'05_Monthly_Model'!BP26</f>
        <v>991.76182801110383</v>
      </c>
      <c r="BQ21" s="108">
        <f>'05_Monthly_Model'!BQ26</f>
        <v>997.71239897917042</v>
      </c>
      <c r="BR21" s="108">
        <f>'05_Monthly_Model'!BR26</f>
        <v>1003.6986733730455</v>
      </c>
      <c r="BS21" s="108">
        <f>'05_Monthly_Model'!BS26</f>
        <v>1009.7208654132837</v>
      </c>
      <c r="BT21" s="108">
        <f>'05_Monthly_Model'!BT26</f>
        <v>1015.7791906057635</v>
      </c>
      <c r="BU21" s="108">
        <f>'05_Monthly_Model'!BU26</f>
        <v>1021.8738657493981</v>
      </c>
      <c r="BV21" s="108">
        <f>'05_Monthly_Model'!BV26</f>
        <v>1028.0051089438946</v>
      </c>
      <c r="BW21" s="108">
        <f>'05_Monthly_Model'!BW26</f>
        <v>1034.173139597558</v>
      </c>
      <c r="BX21" s="108">
        <f>'05_Monthly_Model'!BX26</f>
        <v>1040.3781784351434</v>
      </c>
      <c r="BY21" s="108">
        <f>'05_Monthly_Model'!BY26</f>
        <v>1046.6204475057543</v>
      </c>
      <c r="BZ21" s="108">
        <f>'05_Monthly_Model'!BZ26</f>
        <v>1052.9001701907889</v>
      </c>
      <c r="CA21" s="108">
        <f>'05_Monthly_Model'!CA26</f>
        <v>1059.2175712119335</v>
      </c>
      <c r="CB21" s="108">
        <f>'05_Monthly_Model'!CB26</f>
        <v>1065.5728766392051</v>
      </c>
      <c r="CC21" s="108">
        <f>'05_Monthly_Model'!CC26</f>
        <v>1071.9663138990404</v>
      </c>
      <c r="CD21" s="108">
        <f>'05_Monthly_Model'!CD26</f>
        <v>1078.3981117824346</v>
      </c>
      <c r="CE21" s="108">
        <f>'05_Monthly_Model'!CE26</f>
        <v>1084.8685004531292</v>
      </c>
      <c r="CF21" s="108">
        <f>'05_Monthly_Model'!CF26</f>
        <v>1091.3777114558479</v>
      </c>
      <c r="CG21" s="108">
        <f>'05_Monthly_Model'!CG26</f>
        <v>1097.9259777245829</v>
      </c>
    </row>
    <row r="22" spans="1:85" x14ac:dyDescent="0.3">
      <c r="A22" s="26" t="s">
        <v>137</v>
      </c>
      <c r="B22" s="27">
        <f>'05_Monthly_Model'!B27</f>
        <v>3244.7487389380535</v>
      </c>
      <c r="C22" s="27">
        <f>'05_Monthly_Model'!C27</f>
        <v>3561.203774403471</v>
      </c>
      <c r="D22" s="27">
        <f>'05_Monthly_Model'!D27</f>
        <v>4028.8206512605061</v>
      </c>
      <c r="E22" s="27">
        <f>'05_Monthly_Model'!E27</f>
        <v>4359.1061601642787</v>
      </c>
      <c r="F22" s="27">
        <f>'05_Monthly_Model'!F27</f>
        <v>4785.828568548387</v>
      </c>
      <c r="G22" s="27">
        <f>'05_Monthly_Model'!G27</f>
        <v>5196.165386138613</v>
      </c>
      <c r="H22" s="27">
        <f>'05_Monthly_Model'!H27</f>
        <v>5651.7792592592541</v>
      </c>
      <c r="I22" s="27">
        <f>'05_Monthly_Model'!I27</f>
        <v>6083.081923076923</v>
      </c>
      <c r="J22" s="27">
        <f>'05_Monthly_Model'!J27</f>
        <v>6352.985141242928</v>
      </c>
      <c r="K22" s="27">
        <f>'05_Monthly_Model'!K27</f>
        <v>6790.7705783582096</v>
      </c>
      <c r="L22" s="27">
        <f>'05_Monthly_Model'!L27</f>
        <v>6904.8457509157324</v>
      </c>
      <c r="M22" s="27">
        <f>'05_Monthly_Model'!M27</f>
        <v>7437.2941666666829</v>
      </c>
      <c r="N22" s="27">
        <f>'05_Monthly_Model'!N27</f>
        <v>7438.1494148936381</v>
      </c>
      <c r="O22" s="27">
        <f>'05_Monthly_Model'!O27</f>
        <v>7152.215174216065</v>
      </c>
      <c r="P22" s="27">
        <f>'05_Monthly_Model'!P27</f>
        <v>7510.0623367697763</v>
      </c>
      <c r="Q22" s="27">
        <f>'05_Monthly_Model'!Q27</f>
        <v>7354.3866047297051</v>
      </c>
      <c r="R22" s="27">
        <f>'05_Monthly_Model'!R27</f>
        <v>7516.6646469622183</v>
      </c>
      <c r="S22" s="27">
        <f>'05_Monthly_Model'!S27</f>
        <v>7319.602979066005</v>
      </c>
      <c r="T22" s="27">
        <f>'05_Monthly_Model'!T27</f>
        <v>7538.6198722044419</v>
      </c>
      <c r="U22" s="27">
        <f>'05_Monthly_Model'!U27</f>
        <v>7615.8515408804624</v>
      </c>
      <c r="V22" s="27">
        <f>'05_Monthly_Model'!V27</f>
        <v>7435.1954783950459</v>
      </c>
      <c r="W22" s="27">
        <f>'05_Monthly_Model'!W27</f>
        <v>7536.2692342341998</v>
      </c>
      <c r="X22" s="27">
        <f>'05_Monthly_Model'!X27</f>
        <v>7378.4409319526521</v>
      </c>
      <c r="Y22" s="27">
        <f>'05_Monthly_Model'!Y27</f>
        <v>7543.8461021897292</v>
      </c>
      <c r="Z22" s="27">
        <f>'05_Monthly_Model'!Z27</f>
        <v>7582.7776258992189</v>
      </c>
      <c r="AA22" s="27">
        <f>'05_Monthly_Model'!AA27</f>
        <v>7130.0406134094164</v>
      </c>
      <c r="AB22" s="27">
        <f>'05_Monthly_Model'!AB27</f>
        <v>7454.7564493758209</v>
      </c>
      <c r="AC22" s="27">
        <f>'05_Monthly_Model'!AC27</f>
        <v>7303.2810562414097</v>
      </c>
      <c r="AD22" s="27">
        <f>'05_Monthly_Model'!AD27</f>
        <v>7450.3213261163328</v>
      </c>
      <c r="AE22" s="27">
        <f>'05_Monthly_Model'!AE27</f>
        <v>7190.0029216467456</v>
      </c>
      <c r="AF22" s="27">
        <f>'05_Monthly_Model'!AF27</f>
        <v>7351.6618954248133</v>
      </c>
      <c r="AG22" s="27">
        <f>'05_Monthly_Model'!AG27</f>
        <v>7328.1102056554855</v>
      </c>
      <c r="AH22" s="27">
        <f>'05_Monthly_Model'!AH27</f>
        <v>7098.1005681818033</v>
      </c>
      <c r="AI22" s="27">
        <f>'05_Monthly_Model'!AI27</f>
        <v>7196.884228855668</v>
      </c>
      <c r="AJ22" s="27">
        <f>'05_Monthly_Model'!AJ27</f>
        <v>6983.0629289215531</v>
      </c>
      <c r="AK22" s="27">
        <f>'05_Monthly_Model'!AK27</f>
        <v>7165.7721855921291</v>
      </c>
      <c r="AL22" s="27">
        <f>'05_Monthly_Model'!AL27</f>
        <v>7185.3492242423717</v>
      </c>
      <c r="AM22" s="27">
        <f>'05_Monthly_Model'!AM27</f>
        <v>6647.0276895306379</v>
      </c>
      <c r="AN22" s="27">
        <f>'05_Monthly_Model'!AN27</f>
        <v>7017.292273809474</v>
      </c>
      <c r="AO22" s="27">
        <f>'05_Monthly_Model'!AO27</f>
        <v>6812.2971310507528</v>
      </c>
      <c r="AP22" s="27">
        <f>'05_Monthly_Model'!AP27</f>
        <v>6916.2173943661364</v>
      </c>
      <c r="AQ22" s="27">
        <f>'05_Monthly_Model'!AQ27</f>
        <v>6788.5103747072526</v>
      </c>
      <c r="AR22" s="27">
        <f>'05_Monthly_Model'!AR27</f>
        <v>6815.5024636722919</v>
      </c>
      <c r="AS22" s="27">
        <f>'05_Monthly_Model'!AS27</f>
        <v>6842.6018770467344</v>
      </c>
      <c r="AT22" s="27">
        <f>'05_Monthly_Model'!AT27</f>
        <v>6869.8090415677943</v>
      </c>
      <c r="AU22" s="27">
        <f>'05_Monthly_Model'!AU27</f>
        <v>6897.1243856694555</v>
      </c>
      <c r="AV22" s="27">
        <f>'05_Monthly_Model'!AV27</f>
        <v>6924.5483394892144</v>
      </c>
      <c r="AW22" s="27">
        <f>'05_Monthly_Model'!AW27</f>
        <v>6952.081334874857</v>
      </c>
      <c r="AX22" s="27">
        <f>'05_Monthly_Model'!AX27</f>
        <v>6979.7238053912588</v>
      </c>
      <c r="AY22" s="27">
        <f>'05_Monthly_Model'!AY27</f>
        <v>7007.4761863272088</v>
      </c>
      <c r="AZ22" s="27">
        <f>'05_Monthly_Model'!AZ27</f>
        <v>7035.3389147022672</v>
      </c>
      <c r="BA22" s="27">
        <f>'05_Monthly_Model'!BA27</f>
        <v>7063.3124292736466</v>
      </c>
      <c r="BB22" s="27">
        <f>'05_Monthly_Model'!BB27</f>
        <v>7091.397170543125</v>
      </c>
      <c r="BC22" s="27">
        <f>'05_Monthly_Model'!BC27</f>
        <v>7119.5935807639726</v>
      </c>
      <c r="BD22" s="27">
        <f>'05_Monthly_Model'!BD27</f>
        <v>7147.9021039479248</v>
      </c>
      <c r="BE22" s="27">
        <f>'05_Monthly_Model'!BE27</f>
        <v>7176.3231858721711</v>
      </c>
      <c r="BF22" s="27">
        <f>'05_Monthly_Model'!BF27</f>
        <v>7204.8572740863738</v>
      </c>
      <c r="BG22" s="27">
        <f>'05_Monthly_Model'!BG27</f>
        <v>7233.5048179197192</v>
      </c>
      <c r="BH22" s="27">
        <f>'05_Monthly_Model'!BH27</f>
        <v>7262.2662684879888</v>
      </c>
      <c r="BI22" s="27">
        <f>'05_Monthly_Model'!BI27</f>
        <v>7291.1420787006655</v>
      </c>
      <c r="BJ22" s="27">
        <f>'05_Monthly_Model'!BJ27</f>
        <v>7320.1327032680629</v>
      </c>
      <c r="BK22" s="27">
        <f>'05_Monthly_Model'!BK27</f>
        <v>7349.2385987084926</v>
      </c>
      <c r="BL22" s="27">
        <f>'05_Monthly_Model'!BL27</f>
        <v>7378.460223355446</v>
      </c>
      <c r="BM22" s="27">
        <f>'05_Monthly_Model'!BM27</f>
        <v>7407.7980373648115</v>
      </c>
      <c r="BN22" s="27">
        <f>'05_Monthly_Model'!BN27</f>
        <v>7437.2525027221282</v>
      </c>
      <c r="BO22" s="27">
        <f>'05_Monthly_Model'!BO27</f>
        <v>7466.8240832498495</v>
      </c>
      <c r="BP22" s="27">
        <f>'05_Monthly_Model'!BP27</f>
        <v>7496.5132446146599</v>
      </c>
      <c r="BQ22" s="27">
        <f>'05_Monthly_Model'!BQ27</f>
        <v>7526.3204543347974</v>
      </c>
      <c r="BR22" s="27">
        <f>'05_Monthly_Model'!BR27</f>
        <v>7556.2461817874209</v>
      </c>
      <c r="BS22" s="27">
        <f>'05_Monthly_Model'!BS27</f>
        <v>7586.2908982159997</v>
      </c>
      <c r="BT22" s="27">
        <f>'05_Monthly_Model'!BT27</f>
        <v>7616.4550767377332</v>
      </c>
      <c r="BU22" s="27">
        <f>'05_Monthly_Model'!BU27</f>
        <v>7646.739192351004</v>
      </c>
      <c r="BV22" s="27">
        <f>'05_Monthly_Model'!BV27</f>
        <v>7677.1437219428553</v>
      </c>
      <c r="BW22" s="27">
        <f>'05_Monthly_Model'!BW27</f>
        <v>7707.6691442965048</v>
      </c>
      <c r="BX22" s="27">
        <f>'05_Monthly_Model'!BX27</f>
        <v>7738.3159400988761</v>
      </c>
      <c r="BY22" s="27">
        <f>'05_Monthly_Model'!BY27</f>
        <v>7769.0845919481753</v>
      </c>
      <c r="BZ22" s="27">
        <f>'05_Monthly_Model'!BZ27</f>
        <v>7799.9755843614885</v>
      </c>
      <c r="CA22" s="27">
        <f>'05_Monthly_Model'!CA27</f>
        <v>7830.9894037824097</v>
      </c>
      <c r="CB22" s="27">
        <f>'05_Monthly_Model'!CB27</f>
        <v>7862.1265385887027</v>
      </c>
      <c r="CC22" s="27">
        <f>'05_Monthly_Model'!CC27</f>
        <v>7893.3874790999889</v>
      </c>
      <c r="CD22" s="27">
        <f>'05_Monthly_Model'!CD27</f>
        <v>7924.772717585477</v>
      </c>
      <c r="CE22" s="27">
        <f>'05_Monthly_Model'!CE27</f>
        <v>7956.2827482717021</v>
      </c>
      <c r="CF22" s="27">
        <f>'05_Monthly_Model'!CF27</f>
        <v>7987.918067350317</v>
      </c>
      <c r="CG22" s="27">
        <f>'05_Monthly_Model'!CG27</f>
        <v>8019.6791729859051</v>
      </c>
    </row>
    <row r="23" spans="1:85" x14ac:dyDescent="0.3">
      <c r="A23" s="26"/>
      <c r="B23" s="2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</row>
    <row r="24" spans="1:85" x14ac:dyDescent="0.3">
      <c r="A24" s="26" t="s">
        <v>251</v>
      </c>
      <c r="B24" s="27">
        <f>B15-(B13+B14)</f>
        <v>0</v>
      </c>
      <c r="C24" s="27">
        <f t="shared" ref="C24:BN24" si="4">C15-(C13+C14)</f>
        <v>0</v>
      </c>
      <c r="D24" s="27">
        <f t="shared" si="4"/>
        <v>0</v>
      </c>
      <c r="E24" s="27">
        <f t="shared" si="4"/>
        <v>0</v>
      </c>
      <c r="F24" s="27">
        <f t="shared" si="4"/>
        <v>0</v>
      </c>
      <c r="G24" s="27">
        <f t="shared" si="4"/>
        <v>0</v>
      </c>
      <c r="H24" s="27">
        <f t="shared" si="4"/>
        <v>0</v>
      </c>
      <c r="I24" s="27">
        <f t="shared" si="4"/>
        <v>0</v>
      </c>
      <c r="J24" s="27">
        <f t="shared" si="4"/>
        <v>0</v>
      </c>
      <c r="K24" s="27">
        <f t="shared" si="4"/>
        <v>0</v>
      </c>
      <c r="L24" s="27">
        <f t="shared" si="4"/>
        <v>0</v>
      </c>
      <c r="M24" s="27">
        <f t="shared" si="4"/>
        <v>0</v>
      </c>
      <c r="N24" s="27">
        <f t="shared" si="4"/>
        <v>0</v>
      </c>
      <c r="O24" s="27">
        <f t="shared" si="4"/>
        <v>0</v>
      </c>
      <c r="P24" s="27">
        <f t="shared" si="4"/>
        <v>0</v>
      </c>
      <c r="Q24" s="27">
        <f t="shared" si="4"/>
        <v>0</v>
      </c>
      <c r="R24" s="27">
        <f t="shared" si="4"/>
        <v>0</v>
      </c>
      <c r="S24" s="27">
        <f t="shared" si="4"/>
        <v>0</v>
      </c>
      <c r="T24" s="27">
        <f t="shared" si="4"/>
        <v>0</v>
      </c>
      <c r="U24" s="27">
        <f t="shared" si="4"/>
        <v>0</v>
      </c>
      <c r="V24" s="27">
        <f t="shared" si="4"/>
        <v>0</v>
      </c>
      <c r="W24" s="27">
        <f t="shared" si="4"/>
        <v>0</v>
      </c>
      <c r="X24" s="27">
        <f t="shared" si="4"/>
        <v>0</v>
      </c>
      <c r="Y24" s="27">
        <f t="shared" si="4"/>
        <v>0</v>
      </c>
      <c r="Z24" s="27">
        <f t="shared" si="4"/>
        <v>0</v>
      </c>
      <c r="AA24" s="27">
        <f t="shared" si="4"/>
        <v>0</v>
      </c>
      <c r="AB24" s="27">
        <f t="shared" si="4"/>
        <v>0</v>
      </c>
      <c r="AC24" s="27">
        <f t="shared" si="4"/>
        <v>0</v>
      </c>
      <c r="AD24" s="27">
        <f t="shared" si="4"/>
        <v>0</v>
      </c>
      <c r="AE24" s="27">
        <f t="shared" si="4"/>
        <v>0</v>
      </c>
      <c r="AF24" s="27">
        <f t="shared" si="4"/>
        <v>0</v>
      </c>
      <c r="AG24" s="27">
        <f t="shared" si="4"/>
        <v>0</v>
      </c>
      <c r="AH24" s="27">
        <f t="shared" si="4"/>
        <v>0</v>
      </c>
      <c r="AI24" s="27">
        <f t="shared" si="4"/>
        <v>0</v>
      </c>
      <c r="AJ24" s="27">
        <f t="shared" si="4"/>
        <v>0</v>
      </c>
      <c r="AK24" s="27">
        <f t="shared" si="4"/>
        <v>0</v>
      </c>
      <c r="AL24" s="27">
        <f t="shared" si="4"/>
        <v>0</v>
      </c>
      <c r="AM24" s="27">
        <f t="shared" si="4"/>
        <v>0</v>
      </c>
      <c r="AN24" s="27">
        <f t="shared" si="4"/>
        <v>0</v>
      </c>
      <c r="AO24" s="27">
        <f t="shared" si="4"/>
        <v>0</v>
      </c>
      <c r="AP24" s="27">
        <f t="shared" si="4"/>
        <v>0</v>
      </c>
      <c r="AQ24" s="27">
        <f t="shared" si="4"/>
        <v>0</v>
      </c>
      <c r="AR24" s="27">
        <f t="shared" si="4"/>
        <v>0</v>
      </c>
      <c r="AS24" s="27">
        <f t="shared" si="4"/>
        <v>0</v>
      </c>
      <c r="AT24" s="27">
        <f t="shared" si="4"/>
        <v>0</v>
      </c>
      <c r="AU24" s="27">
        <f t="shared" si="4"/>
        <v>0</v>
      </c>
      <c r="AV24" s="27">
        <f t="shared" si="4"/>
        <v>0</v>
      </c>
      <c r="AW24" s="27">
        <f t="shared" si="4"/>
        <v>0</v>
      </c>
      <c r="AX24" s="27">
        <f t="shared" si="4"/>
        <v>0</v>
      </c>
      <c r="AY24" s="27">
        <f t="shared" si="4"/>
        <v>0</v>
      </c>
      <c r="AZ24" s="27">
        <f t="shared" si="4"/>
        <v>0</v>
      </c>
      <c r="BA24" s="27">
        <f t="shared" si="4"/>
        <v>0</v>
      </c>
      <c r="BB24" s="27">
        <f t="shared" si="4"/>
        <v>0</v>
      </c>
      <c r="BC24" s="27">
        <f t="shared" si="4"/>
        <v>0</v>
      </c>
      <c r="BD24" s="27">
        <f t="shared" si="4"/>
        <v>0</v>
      </c>
      <c r="BE24" s="27">
        <f t="shared" si="4"/>
        <v>0</v>
      </c>
      <c r="BF24" s="27">
        <f t="shared" si="4"/>
        <v>0</v>
      </c>
      <c r="BG24" s="27">
        <f t="shared" si="4"/>
        <v>0</v>
      </c>
      <c r="BH24" s="27">
        <f t="shared" si="4"/>
        <v>0</v>
      </c>
      <c r="BI24" s="27">
        <f t="shared" si="4"/>
        <v>0</v>
      </c>
      <c r="BJ24" s="27">
        <f t="shared" si="4"/>
        <v>0</v>
      </c>
      <c r="BK24" s="27">
        <f t="shared" si="4"/>
        <v>0</v>
      </c>
      <c r="BL24" s="27">
        <f t="shared" si="4"/>
        <v>0</v>
      </c>
      <c r="BM24" s="27">
        <f t="shared" si="4"/>
        <v>0</v>
      </c>
      <c r="BN24" s="27">
        <f t="shared" si="4"/>
        <v>0</v>
      </c>
      <c r="BO24" s="27">
        <f t="shared" ref="BO24:CG24" si="5">BO15-(BO13+BO14)</f>
        <v>0</v>
      </c>
      <c r="BP24" s="27">
        <f t="shared" si="5"/>
        <v>0</v>
      </c>
      <c r="BQ24" s="27">
        <f t="shared" si="5"/>
        <v>0</v>
      </c>
      <c r="BR24" s="27">
        <f t="shared" si="5"/>
        <v>0</v>
      </c>
      <c r="BS24" s="27">
        <f t="shared" si="5"/>
        <v>0</v>
      </c>
      <c r="BT24" s="27">
        <f t="shared" si="5"/>
        <v>0</v>
      </c>
      <c r="BU24" s="27">
        <f t="shared" si="5"/>
        <v>0</v>
      </c>
      <c r="BV24" s="27">
        <f t="shared" si="5"/>
        <v>0</v>
      </c>
      <c r="BW24" s="27">
        <f t="shared" si="5"/>
        <v>0</v>
      </c>
      <c r="BX24" s="27">
        <f t="shared" si="5"/>
        <v>0</v>
      </c>
      <c r="BY24" s="27">
        <f t="shared" si="5"/>
        <v>0</v>
      </c>
      <c r="BZ24" s="27">
        <f t="shared" si="5"/>
        <v>0</v>
      </c>
      <c r="CA24" s="27">
        <f t="shared" si="5"/>
        <v>0</v>
      </c>
      <c r="CB24" s="27">
        <f t="shared" si="5"/>
        <v>0</v>
      </c>
      <c r="CC24" s="27">
        <f t="shared" si="5"/>
        <v>0</v>
      </c>
      <c r="CD24" s="27">
        <f t="shared" si="5"/>
        <v>0</v>
      </c>
      <c r="CE24" s="27">
        <f t="shared" si="5"/>
        <v>0</v>
      </c>
      <c r="CF24" s="27">
        <f t="shared" si="5"/>
        <v>0</v>
      </c>
      <c r="CG24" s="27">
        <f t="shared" si="5"/>
        <v>0</v>
      </c>
    </row>
    <row r="25" spans="1:85" x14ac:dyDescent="0.3">
      <c r="A25" s="26" t="s">
        <v>144</v>
      </c>
      <c r="B25" s="29">
        <f>B10-B15-B17</f>
        <v>0</v>
      </c>
      <c r="C25" s="29">
        <f t="shared" ref="C25:BN25" si="6">C10-C15-C17</f>
        <v>0</v>
      </c>
      <c r="D25" s="29">
        <f t="shared" si="6"/>
        <v>0</v>
      </c>
      <c r="E25" s="29">
        <f t="shared" si="6"/>
        <v>0</v>
      </c>
      <c r="F25" s="29">
        <f t="shared" si="6"/>
        <v>0</v>
      </c>
      <c r="G25" s="29">
        <f t="shared" si="6"/>
        <v>0</v>
      </c>
      <c r="H25" s="29">
        <f t="shared" si="6"/>
        <v>0</v>
      </c>
      <c r="I25" s="29">
        <f t="shared" si="6"/>
        <v>0</v>
      </c>
      <c r="J25" s="29">
        <f t="shared" si="6"/>
        <v>0</v>
      </c>
      <c r="K25" s="29">
        <f t="shared" si="6"/>
        <v>0</v>
      </c>
      <c r="L25" s="29">
        <f t="shared" si="6"/>
        <v>0</v>
      </c>
      <c r="M25" s="29">
        <f t="shared" si="6"/>
        <v>0</v>
      </c>
      <c r="N25" s="29">
        <f t="shared" si="6"/>
        <v>0</v>
      </c>
      <c r="O25" s="29">
        <f t="shared" si="6"/>
        <v>0</v>
      </c>
      <c r="P25" s="29">
        <f t="shared" si="6"/>
        <v>0</v>
      </c>
      <c r="Q25" s="29">
        <f t="shared" si="6"/>
        <v>0</v>
      </c>
      <c r="R25" s="29">
        <f t="shared" si="6"/>
        <v>0</v>
      </c>
      <c r="S25" s="29">
        <f t="shared" si="6"/>
        <v>0</v>
      </c>
      <c r="T25" s="29">
        <f t="shared" si="6"/>
        <v>0</v>
      </c>
      <c r="U25" s="29">
        <f t="shared" si="6"/>
        <v>0</v>
      </c>
      <c r="V25" s="29">
        <f t="shared" si="6"/>
        <v>0</v>
      </c>
      <c r="W25" s="29">
        <f t="shared" si="6"/>
        <v>0</v>
      </c>
      <c r="X25" s="29">
        <f t="shared" si="6"/>
        <v>0</v>
      </c>
      <c r="Y25" s="29">
        <f t="shared" si="6"/>
        <v>0</v>
      </c>
      <c r="Z25" s="29">
        <f t="shared" si="6"/>
        <v>0</v>
      </c>
      <c r="AA25" s="29">
        <f t="shared" si="6"/>
        <v>0</v>
      </c>
      <c r="AB25" s="29">
        <f t="shared" si="6"/>
        <v>0</v>
      </c>
      <c r="AC25" s="29">
        <f t="shared" si="6"/>
        <v>0</v>
      </c>
      <c r="AD25" s="29">
        <f t="shared" si="6"/>
        <v>0</v>
      </c>
      <c r="AE25" s="29">
        <f t="shared" si="6"/>
        <v>0</v>
      </c>
      <c r="AF25" s="29">
        <f t="shared" si="6"/>
        <v>0</v>
      </c>
      <c r="AG25" s="29">
        <f t="shared" si="6"/>
        <v>0</v>
      </c>
      <c r="AH25" s="29">
        <f t="shared" si="6"/>
        <v>0</v>
      </c>
      <c r="AI25" s="29">
        <f t="shared" si="6"/>
        <v>0</v>
      </c>
      <c r="AJ25" s="29">
        <f t="shared" si="6"/>
        <v>0</v>
      </c>
      <c r="AK25" s="29">
        <f t="shared" si="6"/>
        <v>0</v>
      </c>
      <c r="AL25" s="29">
        <f t="shared" si="6"/>
        <v>0</v>
      </c>
      <c r="AM25" s="29">
        <f t="shared" si="6"/>
        <v>0</v>
      </c>
      <c r="AN25" s="29">
        <f t="shared" si="6"/>
        <v>0</v>
      </c>
      <c r="AO25" s="29">
        <f t="shared" si="6"/>
        <v>0</v>
      </c>
      <c r="AP25" s="29">
        <f t="shared" si="6"/>
        <v>0</v>
      </c>
      <c r="AQ25" s="29">
        <f t="shared" si="6"/>
        <v>0</v>
      </c>
      <c r="AR25" s="29">
        <f t="shared" si="6"/>
        <v>0</v>
      </c>
      <c r="AS25" s="29">
        <f t="shared" si="6"/>
        <v>0</v>
      </c>
      <c r="AT25" s="29">
        <f t="shared" si="6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AX25" s="29">
        <f t="shared" si="6"/>
        <v>0</v>
      </c>
      <c r="AY25" s="29">
        <f t="shared" si="6"/>
        <v>0</v>
      </c>
      <c r="AZ25" s="29">
        <f t="shared" si="6"/>
        <v>0</v>
      </c>
      <c r="BA25" s="29">
        <f t="shared" si="6"/>
        <v>0</v>
      </c>
      <c r="BB25" s="29">
        <f t="shared" si="6"/>
        <v>0</v>
      </c>
      <c r="BC25" s="29">
        <f t="shared" si="6"/>
        <v>0</v>
      </c>
      <c r="BD25" s="29">
        <f t="shared" si="6"/>
        <v>0</v>
      </c>
      <c r="BE25" s="29">
        <f t="shared" si="6"/>
        <v>0</v>
      </c>
      <c r="BF25" s="29">
        <f t="shared" si="6"/>
        <v>0</v>
      </c>
      <c r="BG25" s="29">
        <f t="shared" si="6"/>
        <v>0</v>
      </c>
      <c r="BH25" s="29">
        <f t="shared" si="6"/>
        <v>0</v>
      </c>
      <c r="BI25" s="29">
        <f t="shared" si="6"/>
        <v>0</v>
      </c>
      <c r="BJ25" s="29">
        <f t="shared" si="6"/>
        <v>0</v>
      </c>
      <c r="BK25" s="29">
        <f t="shared" si="6"/>
        <v>0</v>
      </c>
      <c r="BL25" s="29">
        <f t="shared" si="6"/>
        <v>0</v>
      </c>
      <c r="BM25" s="29">
        <f t="shared" si="6"/>
        <v>0</v>
      </c>
      <c r="BN25" s="29">
        <f t="shared" si="6"/>
        <v>0</v>
      </c>
      <c r="BO25" s="29">
        <f t="shared" ref="BO25:CG25" si="7">BO10-BO15-BO17</f>
        <v>0</v>
      </c>
      <c r="BP25" s="29">
        <f t="shared" si="7"/>
        <v>0</v>
      </c>
      <c r="BQ25" s="29">
        <f t="shared" si="7"/>
        <v>0</v>
      </c>
      <c r="BR25" s="29">
        <f t="shared" si="7"/>
        <v>0</v>
      </c>
      <c r="BS25" s="29">
        <f t="shared" si="7"/>
        <v>0</v>
      </c>
      <c r="BT25" s="29">
        <f t="shared" si="7"/>
        <v>0</v>
      </c>
      <c r="BU25" s="29">
        <f t="shared" si="7"/>
        <v>0</v>
      </c>
      <c r="BV25" s="29">
        <f t="shared" si="7"/>
        <v>0</v>
      </c>
      <c r="BW25" s="29">
        <f t="shared" si="7"/>
        <v>0</v>
      </c>
      <c r="BX25" s="29">
        <f t="shared" si="7"/>
        <v>0</v>
      </c>
      <c r="BY25" s="29">
        <f t="shared" si="7"/>
        <v>0</v>
      </c>
      <c r="BZ25" s="29">
        <f t="shared" si="7"/>
        <v>0</v>
      </c>
      <c r="CA25" s="29">
        <f t="shared" si="7"/>
        <v>0</v>
      </c>
      <c r="CB25" s="29">
        <f t="shared" si="7"/>
        <v>0</v>
      </c>
      <c r="CC25" s="29">
        <f t="shared" si="7"/>
        <v>0</v>
      </c>
      <c r="CD25" s="29">
        <f t="shared" si="7"/>
        <v>0</v>
      </c>
      <c r="CE25" s="29">
        <f t="shared" si="7"/>
        <v>0</v>
      </c>
      <c r="CF25" s="29">
        <f t="shared" si="7"/>
        <v>0</v>
      </c>
      <c r="CG25" s="29">
        <f t="shared" si="7"/>
        <v>0</v>
      </c>
    </row>
    <row r="26" spans="1:85" ht="15" thickBot="1" x14ac:dyDescent="0.3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</row>
    <row r="27" spans="1:85" ht="15" thickTop="1" x14ac:dyDescent="0.3">
      <c r="A27" s="99" t="s">
        <v>252</v>
      </c>
      <c r="B27" s="100"/>
      <c r="C27" s="100"/>
      <c r="D27" s="100"/>
      <c r="E27" s="100"/>
      <c r="F27" s="100"/>
      <c r="G27" s="100"/>
      <c r="H27" s="101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</row>
    <row r="28" spans="1:85" x14ac:dyDescent="0.3">
      <c r="A28" s="102"/>
      <c r="B28" s="103">
        <v>2023</v>
      </c>
      <c r="C28" s="103">
        <v>2024</v>
      </c>
      <c r="D28" s="103">
        <v>2025</v>
      </c>
      <c r="E28" s="103">
        <v>2026</v>
      </c>
      <c r="F28" s="103">
        <v>2027</v>
      </c>
      <c r="G28" s="103">
        <v>2028</v>
      </c>
      <c r="H28" s="104">
        <v>2029</v>
      </c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</row>
    <row r="29" spans="1:85" x14ac:dyDescent="0.3">
      <c r="A29" s="105" t="s">
        <v>253</v>
      </c>
      <c r="B29" s="106" t="str" cm="1">
        <f t="array" ref="B29">IF(SUMPRODUCT(('05_Monthly_Model'!$B$6:$CG$6=B$28)*($B$5:$CG$5="Forecast"))=0,"Actual",IF(SUMPRODUCT(('05_Monthly_Model'!$B$6:$CG$6=B$28)*($B$5:$CG$5="Actual"))=0,"Forecast","Blended"))</f>
        <v>Actual</v>
      </c>
      <c r="C29" s="106" t="str" cm="1">
        <f t="array" ref="C29">IF(SUMPRODUCT(('05_Monthly_Model'!$B$6:$CG$6=C$28)*($B$5:$CG$5="Forecast"))=0,"Actual",IF(SUMPRODUCT(('05_Monthly_Model'!$B$6:$CG$6=C$28)*($B$5:$CG$5="Actual"))=0,"Forecast","Blended"))</f>
        <v>Actual</v>
      </c>
      <c r="D29" s="106" t="str" cm="1">
        <f t="array" ref="D29">IF(SUMPRODUCT(('05_Monthly_Model'!$B$6:$CG$6=D$28)*($B$5:$CG$5="Forecast"))=0,"Actual",IF(SUMPRODUCT(('05_Monthly_Model'!$B$6:$CG$6=D$28)*($B$5:$CG$5="Actual"))=0,"Forecast","Blended"))</f>
        <v>Actual</v>
      </c>
      <c r="E29" s="106" t="s">
        <v>254</v>
      </c>
      <c r="F29" s="106" t="str" cm="1">
        <f t="array" ref="F29">IF(SUMPRODUCT(('05_Monthly_Model'!$B$6:$CG$6=F$28)*($B$5:$CG$5="Forecast"))=0,"Actual",IF(SUMPRODUCT(('05_Monthly_Model'!$B$6:$CG$6=F$28)*($B$5:$CG$5="Actual"))=0,"Forecast","Blended"))</f>
        <v>Forecast</v>
      </c>
      <c r="G29" s="106" t="str" cm="1">
        <f t="array" ref="G29">IF(SUMPRODUCT(('05_Monthly_Model'!$B$6:$CG$6=G$28)*($B$5:$CG$5="Forecast"))=0,"Actual",IF(SUMPRODUCT(('05_Monthly_Model'!$B$6:$CG$6=G$28)*($B$5:$CG$5="Actual"))=0,"Forecast","Blended"))</f>
        <v>Forecast</v>
      </c>
      <c r="H29" s="107" t="str" cm="1">
        <f t="array" ref="H29">IF(SUMPRODUCT(('05_Monthly_Model'!$B$6:$CG$6=H$28)*($B$5:$CG$5="Forecast"))=0,"Actual",IF(SUMPRODUCT(('05_Monthly_Model'!$B$6:$CG$6=H$28)*($B$5:$CG$5="Actual"))=0,"Forecast","Blended"))</f>
        <v>Forecast</v>
      </c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</row>
    <row r="30" spans="1:85" x14ac:dyDescent="0.3">
      <c r="A30" s="26" t="s">
        <v>28</v>
      </c>
      <c r="B30" s="27">
        <f>SUMIF('05_Monthly_Model'!$B$6:$CG$6,B$28,$B$10:$CG$10)</f>
        <v>33098064.850000001</v>
      </c>
      <c r="C30" s="27">
        <f>SUMIF('05_Monthly_Model'!$B$6:$CG$6,C$28,$B$10:$CG$10)</f>
        <v>55703643.399999887</v>
      </c>
      <c r="D30" s="27">
        <f>SUMIF('05_Monthly_Model'!$B$6:$CG$6,D$28,$B$10:$CG$10)</f>
        <v>66187248.299999714</v>
      </c>
      <c r="E30" s="27">
        <f>SUMIF('05_Monthly_Model'!$B$6:$CG$6,E$28,$B$10:$CG$10)</f>
        <v>70828412.978200287</v>
      </c>
      <c r="F30" s="27">
        <f>SUMIF('05_Monthly_Model'!$B$6:$CG$6,F$28,$B$10:$CG$10)</f>
        <v>78829168.827666536</v>
      </c>
      <c r="G30" s="27">
        <f>SUMIF('05_Monthly_Model'!$B$6:$CG$6,G$28,$B$10:$CG$10)</f>
        <v>88826680.539513484</v>
      </c>
      <c r="H30" s="113">
        <f>SUMIF('05_Monthly_Model'!$B$6:$CG$6,H$28,$B$10:$CG$10)</f>
        <v>100092126.97546016</v>
      </c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7"/>
    </row>
    <row r="31" spans="1:85" x14ac:dyDescent="0.3">
      <c r="A31" s="26" t="s">
        <v>1</v>
      </c>
      <c r="B31" s="29">
        <f>SUMIF('05_Monthly_Model'!$B$6:$CG$6,B$28,$B$13:$CG$13)</f>
        <v>60322072.990000002</v>
      </c>
      <c r="C31" s="29">
        <f>SUMIF('05_Monthly_Model'!$B$6:$CG$6,C$28,$B$13:$CG$13)</f>
        <v>71431930.069999993</v>
      </c>
      <c r="D31" s="29">
        <f>SUMIF('05_Monthly_Model'!$B$6:$CG$6,D$28,$B$13:$CG$13)</f>
        <v>84152605.019999996</v>
      </c>
      <c r="E31" s="29">
        <f>SUMIF('05_Monthly_Model'!$B$6:$CG$6,E$28,$B$13:$CG$13)</f>
        <v>93297269.202704147</v>
      </c>
      <c r="F31" s="29">
        <f>SUMIF('05_Monthly_Model'!$B$6:$CG$6,F$28,$B$13:$CG$13)</f>
        <v>104098547.48576042</v>
      </c>
      <c r="G31" s="29">
        <f>SUMIF('05_Monthly_Model'!$B$6:$CG$6,G$28,$B$13:$CG$13)</f>
        <v>117300848.90733631</v>
      </c>
      <c r="H31" s="114">
        <f>SUMIF('05_Monthly_Model'!$B$6:$CG$6,H$28,$B$13:$CG$13)</f>
        <v>132177532.60451484</v>
      </c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</row>
    <row r="32" spans="1:85" x14ac:dyDescent="0.3">
      <c r="A32" s="26" t="s">
        <v>248</v>
      </c>
      <c r="B32" s="27">
        <f>SUMIF('05_Monthly_Model'!$B$6:$CG$6,B$28,$B$14:$CG$14)</f>
        <v>6933102.1400000006</v>
      </c>
      <c r="C32" s="27">
        <f>SUMIF('05_Monthly_Model'!$B$6:$CG$6,C$28,$B$14:$CG$14)</f>
        <v>6854105.209999999</v>
      </c>
      <c r="D32" s="27">
        <f>SUMIF('05_Monthly_Model'!$B$6:$CG$6,D$28,$B$14:$CG$14)</f>
        <v>7527033.4900000002</v>
      </c>
      <c r="E32" s="27">
        <f>SUMIF('05_Monthly_Model'!$B$6:$CG$6,E$28,$B$14:$CG$14)</f>
        <v>3858760.1587422499</v>
      </c>
      <c r="F32" s="27">
        <f>SUMIF('05_Monthly_Model'!$B$6:$CG$6,F$28,$B$14:$CG$14)</f>
        <v>1031425.8515183885</v>
      </c>
      <c r="G32" s="27">
        <f>SUMIF('05_Monthly_Model'!$B$6:$CG$6,G$28,$B$14:$CG$14)</f>
        <v>1134917.7741248077</v>
      </c>
      <c r="H32" s="113">
        <f>SUMIF('05_Monthly_Model'!$B$6:$CG$6,H$28,$B$14:$CG$14)</f>
        <v>1248793.9410557272</v>
      </c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</row>
    <row r="33" spans="1:85" x14ac:dyDescent="0.3">
      <c r="A33" s="26" t="s">
        <v>143</v>
      </c>
      <c r="B33" s="29">
        <f>SUMIF('05_Monthly_Model'!$B$6:$CG$6,B$28,$B$15:$CG$15)</f>
        <v>67255175.129999995</v>
      </c>
      <c r="C33" s="29">
        <f>SUMIF('05_Monthly_Model'!$B$6:$CG$6,C$28,$B$15:$CG$15)</f>
        <v>78286035.280000001</v>
      </c>
      <c r="D33" s="29">
        <f>SUMIF('05_Monthly_Model'!$B$6:$CG$6,D$28,$B$15:$CG$15)</f>
        <v>91679638.50999999</v>
      </c>
      <c r="E33" s="29">
        <f>SUMIF('05_Monthly_Model'!$B$6:$CG$6,E$28,$B$15:$CG$15)</f>
        <v>97156029.36144641</v>
      </c>
      <c r="F33" s="29">
        <f>SUMIF('05_Monthly_Model'!$B$6:$CG$6,F$28,$B$15:$CG$15)</f>
        <v>105129973.33727881</v>
      </c>
      <c r="G33" s="29">
        <f>SUMIF('05_Monthly_Model'!$B$6:$CG$6,G$28,$B$15:$CG$15)</f>
        <v>118435766.6814611</v>
      </c>
      <c r="H33" s="114">
        <f>SUMIF('05_Monthly_Model'!$B$6:$CG$6,H$28,$B$15:$CG$15)</f>
        <v>133426326.54557058</v>
      </c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</row>
    <row r="34" spans="1:85" x14ac:dyDescent="0.3">
      <c r="A34" s="110" t="s">
        <v>31</v>
      </c>
      <c r="B34" s="115">
        <f>B30-B33</f>
        <v>-34157110.279999994</v>
      </c>
      <c r="C34" s="115">
        <f t="shared" ref="C34:H34" si="8">C30-C33</f>
        <v>-22582391.880000114</v>
      </c>
      <c r="D34" s="115">
        <f t="shared" si="8"/>
        <v>-25492390.210000277</v>
      </c>
      <c r="E34" s="115">
        <f t="shared" si="8"/>
        <v>-26327616.383246124</v>
      </c>
      <c r="F34" s="115">
        <f t="shared" si="8"/>
        <v>-26300804.509612277</v>
      </c>
      <c r="G34" s="115">
        <f t="shared" si="8"/>
        <v>-29609086.141947612</v>
      </c>
      <c r="H34" s="116">
        <f t="shared" si="8"/>
        <v>-33334199.570110425</v>
      </c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</row>
    <row r="35" spans="1:85" x14ac:dyDescent="0.3">
      <c r="A35" s="26" t="s">
        <v>135</v>
      </c>
      <c r="B35" s="29">
        <f>IFERROR(B34/B30,"")</f>
        <v>-1.0319972008877127</v>
      </c>
      <c r="C35" s="29">
        <f t="shared" ref="C35:H35" si="9">IFERROR(C34/C30,"")</f>
        <v>-0.40540242076876715</v>
      </c>
      <c r="D35" s="29">
        <f t="shared" si="9"/>
        <v>-0.38515561327544096</v>
      </c>
      <c r="E35" s="29">
        <f t="shared" si="9"/>
        <v>-0.37170981638892986</v>
      </c>
      <c r="F35" s="29">
        <f t="shared" si="9"/>
        <v>-0.33364305244813808</v>
      </c>
      <c r="G35" s="29">
        <f t="shared" si="9"/>
        <v>-0.33333550192474393</v>
      </c>
      <c r="H35" s="114">
        <f t="shared" si="9"/>
        <v>-0.33303518046212621</v>
      </c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</row>
    <row r="36" spans="1:85" x14ac:dyDescent="0.3">
      <c r="A36" s="26" t="s">
        <v>136</v>
      </c>
      <c r="B36" s="27">
        <f t="shared" ref="B36:H36" si="10">INDEX($B$21:$CG$21,MATCH(DATE(B$28,12,1),$B$4:$CG$4,0))</f>
        <v>552</v>
      </c>
      <c r="C36" s="27">
        <f t="shared" si="10"/>
        <v>685</v>
      </c>
      <c r="D36" s="27">
        <f t="shared" si="10"/>
        <v>819</v>
      </c>
      <c r="E36" s="27">
        <f t="shared" si="10"/>
        <v>885.20886592164425</v>
      </c>
      <c r="F36" s="27">
        <f t="shared" si="10"/>
        <v>951.08979902793158</v>
      </c>
      <c r="G36" s="27">
        <f t="shared" si="10"/>
        <v>1021.8738657493981</v>
      </c>
      <c r="H36" s="113">
        <f t="shared" si="10"/>
        <v>1097.9259777245829</v>
      </c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</row>
    <row r="37" spans="1:85" x14ac:dyDescent="0.3">
      <c r="A37" s="26" t="s">
        <v>137</v>
      </c>
      <c r="B37" s="29">
        <f>IFERROR(B30/B36,"")</f>
        <v>59960.262409420291</v>
      </c>
      <c r="C37" s="29">
        <f t="shared" ref="C37:H37" si="11">IFERROR(C30/C36,"")</f>
        <v>81319.187445255302</v>
      </c>
      <c r="D37" s="29">
        <f t="shared" si="11"/>
        <v>80814.710989010637</v>
      </c>
      <c r="E37" s="29">
        <f t="shared" si="11"/>
        <v>80013.221404483513</v>
      </c>
      <c r="F37" s="29">
        <f t="shared" si="11"/>
        <v>82882.992655619353</v>
      </c>
      <c r="G37" s="29">
        <f t="shared" si="11"/>
        <v>86925.288449736254</v>
      </c>
      <c r="H37" s="114">
        <f t="shared" si="11"/>
        <v>91164.731508491983</v>
      </c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</row>
  </sheetData>
  <mergeCells count="2">
    <mergeCell ref="A1:CG1"/>
    <mergeCell ref="A2:CG2"/>
  </mergeCells>
  <conditionalFormatting sqref="A5:XFD5 A8:XFD8">
    <cfRule type="expression" dxfId="145" priority="7">
      <formula>A5="Forecast"</formula>
    </cfRule>
    <cfRule type="expression" dxfId="144" priority="8">
      <formula>A5="Actual"</formula>
    </cfRule>
  </conditionalFormatting>
  <conditionalFormatting sqref="B1:CG1048576">
    <cfRule type="cellIs" dxfId="143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4629-8CC0-4D60-ADE6-974728D0013A}">
  <dimension ref="A1:CG54"/>
  <sheetViews>
    <sheetView showGridLines="0" workbookViewId="0">
      <pane ySplit="7" topLeftCell="A22" activePane="bottomLeft" state="frozen"/>
      <selection pane="bottomLeft" activeCell="B45" sqref="B45:B46"/>
    </sheetView>
  </sheetViews>
  <sheetFormatPr defaultRowHeight="14.4" x14ac:dyDescent="0.3"/>
  <cols>
    <col min="1" max="1" width="34.21875" bestFit="1" customWidth="1"/>
    <col min="2" max="4" width="12" bestFit="1" customWidth="1"/>
    <col min="5" max="8" width="13.109375" bestFit="1" customWidth="1"/>
    <col min="9" max="33" width="12" bestFit="1" customWidth="1"/>
    <col min="34" max="85" width="13.109375" bestFit="1" customWidth="1"/>
  </cols>
  <sheetData>
    <row r="1" spans="1:85" ht="28.2" customHeight="1" x14ac:dyDescent="0.4">
      <c r="A1" s="121" t="s">
        <v>255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2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</row>
    <row r="2" spans="1:85" x14ac:dyDescent="0.3">
      <c r="A2" s="123" t="str">
        <f>"Scenario: "&amp;'02_Control'!$B$14&amp;" | Currency: "&amp;'02_Control'!$B$12&amp;" | Units: £ actual"</f>
        <v>Scenario: Base | Currency: GBP | Units: £ actual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4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</row>
    <row r="3" spans="1:85" x14ac:dyDescent="0.3">
      <c r="A3" s="189"/>
      <c r="B3" s="172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</row>
    <row r="4" spans="1:85" x14ac:dyDescent="0.3">
      <c r="A4" s="45" t="s">
        <v>246</v>
      </c>
      <c r="B4" s="46">
        <f>'05_Monthly_Model'!B4</f>
        <v>44927</v>
      </c>
      <c r="C4" s="46">
        <f>'05_Monthly_Model'!C4</f>
        <v>44958</v>
      </c>
      <c r="D4" s="46">
        <f>'05_Monthly_Model'!D4</f>
        <v>44986</v>
      </c>
      <c r="E4" s="46">
        <f>'05_Monthly_Model'!E4</f>
        <v>45017</v>
      </c>
      <c r="F4" s="46">
        <f>'05_Monthly_Model'!F4</f>
        <v>45047</v>
      </c>
      <c r="G4" s="46">
        <f>'05_Monthly_Model'!G4</f>
        <v>45078</v>
      </c>
      <c r="H4" s="46">
        <f>'05_Monthly_Model'!H4</f>
        <v>45108</v>
      </c>
      <c r="I4" s="46">
        <f>'05_Monthly_Model'!I4</f>
        <v>45139</v>
      </c>
      <c r="J4" s="46">
        <f>'05_Monthly_Model'!J4</f>
        <v>45170</v>
      </c>
      <c r="K4" s="46">
        <f>'05_Monthly_Model'!K4</f>
        <v>45200</v>
      </c>
      <c r="L4" s="46">
        <f>'05_Monthly_Model'!L4</f>
        <v>45231</v>
      </c>
      <c r="M4" s="46">
        <f>'05_Monthly_Model'!M4</f>
        <v>45261</v>
      </c>
      <c r="N4" s="46">
        <f>'05_Monthly_Model'!N4</f>
        <v>45292</v>
      </c>
      <c r="O4" s="46">
        <f>'05_Monthly_Model'!O4</f>
        <v>45323</v>
      </c>
      <c r="P4" s="46">
        <f>'05_Monthly_Model'!P4</f>
        <v>45352</v>
      </c>
      <c r="Q4" s="46">
        <f>'05_Monthly_Model'!Q4</f>
        <v>45383</v>
      </c>
      <c r="R4" s="46">
        <f>'05_Monthly_Model'!R4</f>
        <v>45413</v>
      </c>
      <c r="S4" s="46">
        <f>'05_Monthly_Model'!S4</f>
        <v>45444</v>
      </c>
      <c r="T4" s="46">
        <f>'05_Monthly_Model'!T4</f>
        <v>45474</v>
      </c>
      <c r="U4" s="46">
        <f>'05_Monthly_Model'!U4</f>
        <v>45505</v>
      </c>
      <c r="V4" s="46">
        <f>'05_Monthly_Model'!V4</f>
        <v>45536</v>
      </c>
      <c r="W4" s="46">
        <f>'05_Monthly_Model'!W4</f>
        <v>45566</v>
      </c>
      <c r="X4" s="46">
        <f>'05_Monthly_Model'!X4</f>
        <v>45597</v>
      </c>
      <c r="Y4" s="46">
        <f>'05_Monthly_Model'!Y4</f>
        <v>45627</v>
      </c>
      <c r="Z4" s="46">
        <f>'05_Monthly_Model'!Z4</f>
        <v>45658</v>
      </c>
      <c r="AA4" s="46">
        <f>'05_Monthly_Model'!AA4</f>
        <v>45689</v>
      </c>
      <c r="AB4" s="46">
        <f>'05_Monthly_Model'!AB4</f>
        <v>45717</v>
      </c>
      <c r="AC4" s="46">
        <f>'05_Monthly_Model'!AC4</f>
        <v>45748</v>
      </c>
      <c r="AD4" s="46">
        <f>'05_Monthly_Model'!AD4</f>
        <v>45778</v>
      </c>
      <c r="AE4" s="46">
        <f>'05_Monthly_Model'!AE4</f>
        <v>45809</v>
      </c>
      <c r="AF4" s="46">
        <f>'05_Monthly_Model'!AF4</f>
        <v>45839</v>
      </c>
      <c r="AG4" s="46">
        <f>'05_Monthly_Model'!AG4</f>
        <v>45870</v>
      </c>
      <c r="AH4" s="46">
        <f>'05_Monthly_Model'!AH4</f>
        <v>45901</v>
      </c>
      <c r="AI4" s="46">
        <f>'05_Monthly_Model'!AI4</f>
        <v>45931</v>
      </c>
      <c r="AJ4" s="46">
        <f>'05_Monthly_Model'!AJ4</f>
        <v>45962</v>
      </c>
      <c r="AK4" s="46">
        <f>'05_Monthly_Model'!AK4</f>
        <v>45992</v>
      </c>
      <c r="AL4" s="46">
        <f>'05_Monthly_Model'!AL4</f>
        <v>46023</v>
      </c>
      <c r="AM4" s="46">
        <f>'05_Monthly_Model'!AM4</f>
        <v>46054</v>
      </c>
      <c r="AN4" s="46">
        <f>'05_Monthly_Model'!AN4</f>
        <v>46082</v>
      </c>
      <c r="AO4" s="46">
        <f>'05_Monthly_Model'!AO4</f>
        <v>46113</v>
      </c>
      <c r="AP4" s="46">
        <f>'05_Monthly_Model'!AP4</f>
        <v>46143</v>
      </c>
      <c r="AQ4" s="46">
        <f>'05_Monthly_Model'!AQ4</f>
        <v>46174</v>
      </c>
      <c r="AR4" s="46">
        <f>'05_Monthly_Model'!AR4</f>
        <v>46204</v>
      </c>
      <c r="AS4" s="46">
        <f>'05_Monthly_Model'!AS4</f>
        <v>46235</v>
      </c>
      <c r="AT4" s="46">
        <f>'05_Monthly_Model'!AT4</f>
        <v>46266</v>
      </c>
      <c r="AU4" s="46">
        <f>'05_Monthly_Model'!AU4</f>
        <v>46296</v>
      </c>
      <c r="AV4" s="46">
        <f>'05_Monthly_Model'!AV4</f>
        <v>46327</v>
      </c>
      <c r="AW4" s="46">
        <f>'05_Monthly_Model'!AW4</f>
        <v>46357</v>
      </c>
      <c r="AX4" s="46">
        <f>'05_Monthly_Model'!AX4</f>
        <v>46388</v>
      </c>
      <c r="AY4" s="46">
        <f>'05_Monthly_Model'!AY4</f>
        <v>46419</v>
      </c>
      <c r="AZ4" s="46">
        <f>'05_Monthly_Model'!AZ4</f>
        <v>46447</v>
      </c>
      <c r="BA4" s="46">
        <f>'05_Monthly_Model'!BA4</f>
        <v>46478</v>
      </c>
      <c r="BB4" s="46">
        <f>'05_Monthly_Model'!BB4</f>
        <v>46508</v>
      </c>
      <c r="BC4" s="46">
        <f>'05_Monthly_Model'!BC4</f>
        <v>46539</v>
      </c>
      <c r="BD4" s="46">
        <f>'05_Monthly_Model'!BD4</f>
        <v>46569</v>
      </c>
      <c r="BE4" s="46">
        <f>'05_Monthly_Model'!BE4</f>
        <v>46600</v>
      </c>
      <c r="BF4" s="46">
        <f>'05_Monthly_Model'!BF4</f>
        <v>46631</v>
      </c>
      <c r="BG4" s="46">
        <f>'05_Monthly_Model'!BG4</f>
        <v>46661</v>
      </c>
      <c r="BH4" s="46">
        <f>'05_Monthly_Model'!BH4</f>
        <v>46692</v>
      </c>
      <c r="BI4" s="46">
        <f>'05_Monthly_Model'!BI4</f>
        <v>46722</v>
      </c>
      <c r="BJ4" s="46">
        <f>'05_Monthly_Model'!BJ4</f>
        <v>46753</v>
      </c>
      <c r="BK4" s="46">
        <f>'05_Monthly_Model'!BK4</f>
        <v>46784</v>
      </c>
      <c r="BL4" s="46">
        <f>'05_Monthly_Model'!BL4</f>
        <v>46813</v>
      </c>
      <c r="BM4" s="46">
        <f>'05_Monthly_Model'!BM4</f>
        <v>46844</v>
      </c>
      <c r="BN4" s="46">
        <f>'05_Monthly_Model'!BN4</f>
        <v>46874</v>
      </c>
      <c r="BO4" s="46">
        <f>'05_Monthly_Model'!BO4</f>
        <v>46905</v>
      </c>
      <c r="BP4" s="46">
        <f>'05_Monthly_Model'!BP4</f>
        <v>46935</v>
      </c>
      <c r="BQ4" s="46">
        <f>'05_Monthly_Model'!BQ4</f>
        <v>46966</v>
      </c>
      <c r="BR4" s="46">
        <f>'05_Monthly_Model'!BR4</f>
        <v>46997</v>
      </c>
      <c r="BS4" s="46">
        <f>'05_Monthly_Model'!BS4</f>
        <v>47027</v>
      </c>
      <c r="BT4" s="46">
        <f>'05_Monthly_Model'!BT4</f>
        <v>47058</v>
      </c>
      <c r="BU4" s="46">
        <f>'05_Monthly_Model'!BU4</f>
        <v>47088</v>
      </c>
      <c r="BV4" s="46">
        <f>'05_Monthly_Model'!BV4</f>
        <v>47119</v>
      </c>
      <c r="BW4" s="46">
        <f>'05_Monthly_Model'!BW4</f>
        <v>47150</v>
      </c>
      <c r="BX4" s="46">
        <f>'05_Monthly_Model'!BX4</f>
        <v>47178</v>
      </c>
      <c r="BY4" s="46">
        <f>'05_Monthly_Model'!BY4</f>
        <v>47209</v>
      </c>
      <c r="BZ4" s="46">
        <f>'05_Monthly_Model'!BZ4</f>
        <v>47239</v>
      </c>
      <c r="CA4" s="46">
        <f>'05_Monthly_Model'!CA4</f>
        <v>47270</v>
      </c>
      <c r="CB4" s="46">
        <f>'05_Monthly_Model'!CB4</f>
        <v>47300</v>
      </c>
      <c r="CC4" s="46">
        <f>'05_Monthly_Model'!CC4</f>
        <v>47331</v>
      </c>
      <c r="CD4" s="46">
        <f>'05_Monthly_Model'!CD4</f>
        <v>47362</v>
      </c>
      <c r="CE4" s="46">
        <f>'05_Monthly_Model'!CE4</f>
        <v>47392</v>
      </c>
      <c r="CF4" s="46">
        <f>'05_Monthly_Model'!CF4</f>
        <v>47423</v>
      </c>
      <c r="CG4" s="46">
        <f>'05_Monthly_Model'!CG4</f>
        <v>47453</v>
      </c>
    </row>
    <row r="5" spans="1:85" x14ac:dyDescent="0.3">
      <c r="A5" s="16" t="s">
        <v>22</v>
      </c>
      <c r="B5" s="17" t="str">
        <f>'05_Monthly_Model'!B5</f>
        <v>Actual</v>
      </c>
      <c r="C5" s="17" t="str">
        <f>'05_Monthly_Model'!C5</f>
        <v>Actual</v>
      </c>
      <c r="D5" s="17" t="str">
        <f>'05_Monthly_Model'!D5</f>
        <v>Actual</v>
      </c>
      <c r="E5" s="17" t="str">
        <f>'05_Monthly_Model'!E5</f>
        <v>Actual</v>
      </c>
      <c r="F5" s="17" t="str">
        <f>'05_Monthly_Model'!F5</f>
        <v>Actual</v>
      </c>
      <c r="G5" s="17" t="str">
        <f>'05_Monthly_Model'!G5</f>
        <v>Actual</v>
      </c>
      <c r="H5" s="17" t="str">
        <f>'05_Monthly_Model'!H5</f>
        <v>Actual</v>
      </c>
      <c r="I5" s="17" t="str">
        <f>'05_Monthly_Model'!I5</f>
        <v>Actual</v>
      </c>
      <c r="J5" s="17" t="str">
        <f>'05_Monthly_Model'!J5</f>
        <v>Actual</v>
      </c>
      <c r="K5" s="17" t="str">
        <f>'05_Monthly_Model'!K5</f>
        <v>Actual</v>
      </c>
      <c r="L5" s="17" t="str">
        <f>'05_Monthly_Model'!L5</f>
        <v>Actual</v>
      </c>
      <c r="M5" s="17" t="str">
        <f>'05_Monthly_Model'!M5</f>
        <v>Actual</v>
      </c>
      <c r="N5" s="17" t="str">
        <f>'05_Monthly_Model'!N5</f>
        <v>Actual</v>
      </c>
      <c r="O5" s="17" t="str">
        <f>'05_Monthly_Model'!O5</f>
        <v>Actual</v>
      </c>
      <c r="P5" s="17" t="str">
        <f>'05_Monthly_Model'!P5</f>
        <v>Actual</v>
      </c>
      <c r="Q5" s="17" t="str">
        <f>'05_Monthly_Model'!Q5</f>
        <v>Actual</v>
      </c>
      <c r="R5" s="17" t="str">
        <f>'05_Monthly_Model'!R5</f>
        <v>Actual</v>
      </c>
      <c r="S5" s="17" t="str">
        <f>'05_Monthly_Model'!S5</f>
        <v>Actual</v>
      </c>
      <c r="T5" s="17" t="str">
        <f>'05_Monthly_Model'!T5</f>
        <v>Actual</v>
      </c>
      <c r="U5" s="17" t="str">
        <f>'05_Monthly_Model'!U5</f>
        <v>Actual</v>
      </c>
      <c r="V5" s="17" t="str">
        <f>'05_Monthly_Model'!V5</f>
        <v>Actual</v>
      </c>
      <c r="W5" s="17" t="str">
        <f>'05_Monthly_Model'!W5</f>
        <v>Actual</v>
      </c>
      <c r="X5" s="17" t="str">
        <f>'05_Monthly_Model'!X5</f>
        <v>Actual</v>
      </c>
      <c r="Y5" s="17" t="str">
        <f>'05_Monthly_Model'!Y5</f>
        <v>Actual</v>
      </c>
      <c r="Z5" s="17" t="str">
        <f>'05_Monthly_Model'!Z5</f>
        <v>Actual</v>
      </c>
      <c r="AA5" s="17" t="str">
        <f>'05_Monthly_Model'!AA5</f>
        <v>Actual</v>
      </c>
      <c r="AB5" s="17" t="str">
        <f>'05_Monthly_Model'!AB5</f>
        <v>Actual</v>
      </c>
      <c r="AC5" s="17" t="str">
        <f>'05_Monthly_Model'!AC5</f>
        <v>Actual</v>
      </c>
      <c r="AD5" s="17" t="str">
        <f>'05_Monthly_Model'!AD5</f>
        <v>Actual</v>
      </c>
      <c r="AE5" s="17" t="str">
        <f>'05_Monthly_Model'!AE5</f>
        <v>Actual</v>
      </c>
      <c r="AF5" s="17" t="str">
        <f>'05_Monthly_Model'!AF5</f>
        <v>Actual</v>
      </c>
      <c r="AG5" s="17" t="str">
        <f>'05_Monthly_Model'!AG5</f>
        <v>Actual</v>
      </c>
      <c r="AH5" s="17" t="str">
        <f>'05_Monthly_Model'!AH5</f>
        <v>Actual</v>
      </c>
      <c r="AI5" s="17" t="str">
        <f>'05_Monthly_Model'!AI5</f>
        <v>Actual</v>
      </c>
      <c r="AJ5" s="17" t="str">
        <f>'05_Monthly_Model'!AJ5</f>
        <v>Actual</v>
      </c>
      <c r="AK5" s="17" t="str">
        <f>'05_Monthly_Model'!AK5</f>
        <v>Actual</v>
      </c>
      <c r="AL5" s="17" t="str">
        <f>'05_Monthly_Model'!AL5</f>
        <v>Actual</v>
      </c>
      <c r="AM5" s="17" t="str">
        <f>'05_Monthly_Model'!AM5</f>
        <v>Actual</v>
      </c>
      <c r="AN5" s="17" t="str">
        <f>'05_Monthly_Model'!AN5</f>
        <v>Actual</v>
      </c>
      <c r="AO5" s="17" t="str">
        <f>'05_Monthly_Model'!AO5</f>
        <v>Actual</v>
      </c>
      <c r="AP5" s="17" t="str">
        <f>'05_Monthly_Model'!AP5</f>
        <v>Actual</v>
      </c>
      <c r="AQ5" s="17" t="str">
        <f>'05_Monthly_Model'!AQ5</f>
        <v>Actual</v>
      </c>
      <c r="AR5" s="17" t="str">
        <f>'05_Monthly_Model'!AR5</f>
        <v>Forecast</v>
      </c>
      <c r="AS5" s="17" t="str">
        <f>'05_Monthly_Model'!AS5</f>
        <v>Forecast</v>
      </c>
      <c r="AT5" s="17" t="str">
        <f>'05_Monthly_Model'!AT5</f>
        <v>Forecast</v>
      </c>
      <c r="AU5" s="17" t="str">
        <f>'05_Monthly_Model'!AU5</f>
        <v>Forecast</v>
      </c>
      <c r="AV5" s="17" t="str">
        <f>'05_Monthly_Model'!AV5</f>
        <v>Forecast</v>
      </c>
      <c r="AW5" s="17" t="str">
        <f>'05_Monthly_Model'!AW5</f>
        <v>Forecast</v>
      </c>
      <c r="AX5" s="17" t="str">
        <f>'05_Monthly_Model'!AX5</f>
        <v>Forecast</v>
      </c>
      <c r="AY5" s="17" t="str">
        <f>'05_Monthly_Model'!AY5</f>
        <v>Forecast</v>
      </c>
      <c r="AZ5" s="17" t="str">
        <f>'05_Monthly_Model'!AZ5</f>
        <v>Forecast</v>
      </c>
      <c r="BA5" s="17" t="str">
        <f>'05_Monthly_Model'!BA5</f>
        <v>Forecast</v>
      </c>
      <c r="BB5" s="17" t="str">
        <f>'05_Monthly_Model'!BB5</f>
        <v>Forecast</v>
      </c>
      <c r="BC5" s="17" t="str">
        <f>'05_Monthly_Model'!BC5</f>
        <v>Forecast</v>
      </c>
      <c r="BD5" s="17" t="str">
        <f>'05_Monthly_Model'!BD5</f>
        <v>Forecast</v>
      </c>
      <c r="BE5" s="17" t="str">
        <f>'05_Monthly_Model'!BE5</f>
        <v>Forecast</v>
      </c>
      <c r="BF5" s="17" t="str">
        <f>'05_Monthly_Model'!BF5</f>
        <v>Forecast</v>
      </c>
      <c r="BG5" s="17" t="str">
        <f>'05_Monthly_Model'!BG5</f>
        <v>Forecast</v>
      </c>
      <c r="BH5" s="17" t="str">
        <f>'05_Monthly_Model'!BH5</f>
        <v>Forecast</v>
      </c>
      <c r="BI5" s="17" t="str">
        <f>'05_Monthly_Model'!BI5</f>
        <v>Forecast</v>
      </c>
      <c r="BJ5" s="17" t="str">
        <f>'05_Monthly_Model'!BJ5</f>
        <v>Forecast</v>
      </c>
      <c r="BK5" s="17" t="str">
        <f>'05_Monthly_Model'!BK5</f>
        <v>Forecast</v>
      </c>
      <c r="BL5" s="17" t="str">
        <f>'05_Monthly_Model'!BL5</f>
        <v>Forecast</v>
      </c>
      <c r="BM5" s="17" t="str">
        <f>'05_Monthly_Model'!BM5</f>
        <v>Forecast</v>
      </c>
      <c r="BN5" s="17" t="str">
        <f>'05_Monthly_Model'!BN5</f>
        <v>Forecast</v>
      </c>
      <c r="BO5" s="17" t="str">
        <f>'05_Monthly_Model'!BO5</f>
        <v>Forecast</v>
      </c>
      <c r="BP5" s="17" t="str">
        <f>'05_Monthly_Model'!BP5</f>
        <v>Forecast</v>
      </c>
      <c r="BQ5" s="17" t="str">
        <f>'05_Monthly_Model'!BQ5</f>
        <v>Forecast</v>
      </c>
      <c r="BR5" s="17" t="str">
        <f>'05_Monthly_Model'!BR5</f>
        <v>Forecast</v>
      </c>
      <c r="BS5" s="17" t="str">
        <f>'05_Monthly_Model'!BS5</f>
        <v>Forecast</v>
      </c>
      <c r="BT5" s="17" t="str">
        <f>'05_Monthly_Model'!BT5</f>
        <v>Forecast</v>
      </c>
      <c r="BU5" s="17" t="str">
        <f>'05_Monthly_Model'!BU5</f>
        <v>Forecast</v>
      </c>
      <c r="BV5" s="17" t="str">
        <f>'05_Monthly_Model'!BV5</f>
        <v>Forecast</v>
      </c>
      <c r="BW5" s="17" t="str">
        <f>'05_Monthly_Model'!BW5</f>
        <v>Forecast</v>
      </c>
      <c r="BX5" s="17" t="str">
        <f>'05_Monthly_Model'!BX5</f>
        <v>Forecast</v>
      </c>
      <c r="BY5" s="17" t="str">
        <f>'05_Monthly_Model'!BY5</f>
        <v>Forecast</v>
      </c>
      <c r="BZ5" s="17" t="str">
        <f>'05_Monthly_Model'!BZ5</f>
        <v>Forecast</v>
      </c>
      <c r="CA5" s="17" t="str">
        <f>'05_Monthly_Model'!CA5</f>
        <v>Forecast</v>
      </c>
      <c r="CB5" s="17" t="str">
        <f>'05_Monthly_Model'!CB5</f>
        <v>Forecast</v>
      </c>
      <c r="CC5" s="17" t="str">
        <f>'05_Monthly_Model'!CC5</f>
        <v>Forecast</v>
      </c>
      <c r="CD5" s="17" t="str">
        <f>'05_Monthly_Model'!CD5</f>
        <v>Forecast</v>
      </c>
      <c r="CE5" s="17" t="str">
        <f>'05_Monthly_Model'!CE5</f>
        <v>Forecast</v>
      </c>
      <c r="CF5" s="17" t="str">
        <f>'05_Monthly_Model'!CF5</f>
        <v>Forecast</v>
      </c>
      <c r="CG5" s="17" t="str">
        <f>'05_Monthly_Model'!CG5</f>
        <v>Forecast</v>
      </c>
    </row>
    <row r="6" spans="1:85" x14ac:dyDescent="0.3">
      <c r="A6" s="16" t="s">
        <v>129</v>
      </c>
      <c r="B6" s="17">
        <f>YEAR(B4)</f>
        <v>2023</v>
      </c>
      <c r="C6" s="17">
        <f t="shared" ref="C6:BN6" si="0">YEAR(C4)</f>
        <v>2023</v>
      </c>
      <c r="D6" s="17">
        <f t="shared" si="0"/>
        <v>2023</v>
      </c>
      <c r="E6" s="17">
        <f t="shared" si="0"/>
        <v>2023</v>
      </c>
      <c r="F6" s="17">
        <f t="shared" si="0"/>
        <v>2023</v>
      </c>
      <c r="G6" s="17">
        <f t="shared" si="0"/>
        <v>2023</v>
      </c>
      <c r="H6" s="17">
        <f t="shared" si="0"/>
        <v>2023</v>
      </c>
      <c r="I6" s="17">
        <f t="shared" si="0"/>
        <v>2023</v>
      </c>
      <c r="J6" s="17">
        <f t="shared" si="0"/>
        <v>2023</v>
      </c>
      <c r="K6" s="17">
        <f t="shared" si="0"/>
        <v>2023</v>
      </c>
      <c r="L6" s="17">
        <f t="shared" si="0"/>
        <v>2023</v>
      </c>
      <c r="M6" s="17">
        <f t="shared" si="0"/>
        <v>2023</v>
      </c>
      <c r="N6" s="17">
        <f t="shared" si="0"/>
        <v>2024</v>
      </c>
      <c r="O6" s="17">
        <f t="shared" si="0"/>
        <v>2024</v>
      </c>
      <c r="P6" s="17">
        <f t="shared" si="0"/>
        <v>2024</v>
      </c>
      <c r="Q6" s="17">
        <f t="shared" si="0"/>
        <v>2024</v>
      </c>
      <c r="R6" s="17">
        <f t="shared" si="0"/>
        <v>2024</v>
      </c>
      <c r="S6" s="17">
        <f t="shared" si="0"/>
        <v>2024</v>
      </c>
      <c r="T6" s="17">
        <f t="shared" si="0"/>
        <v>2024</v>
      </c>
      <c r="U6" s="17">
        <f t="shared" si="0"/>
        <v>2024</v>
      </c>
      <c r="V6" s="17">
        <f t="shared" si="0"/>
        <v>2024</v>
      </c>
      <c r="W6" s="17">
        <f t="shared" si="0"/>
        <v>2024</v>
      </c>
      <c r="X6" s="17">
        <f t="shared" si="0"/>
        <v>2024</v>
      </c>
      <c r="Y6" s="17">
        <f t="shared" si="0"/>
        <v>2024</v>
      </c>
      <c r="Z6" s="17">
        <f t="shared" si="0"/>
        <v>2025</v>
      </c>
      <c r="AA6" s="17">
        <f t="shared" si="0"/>
        <v>2025</v>
      </c>
      <c r="AB6" s="17">
        <f t="shared" si="0"/>
        <v>2025</v>
      </c>
      <c r="AC6" s="17">
        <f t="shared" si="0"/>
        <v>2025</v>
      </c>
      <c r="AD6" s="17">
        <f t="shared" si="0"/>
        <v>2025</v>
      </c>
      <c r="AE6" s="17">
        <f t="shared" si="0"/>
        <v>2025</v>
      </c>
      <c r="AF6" s="17">
        <f t="shared" si="0"/>
        <v>2025</v>
      </c>
      <c r="AG6" s="17">
        <f t="shared" si="0"/>
        <v>2025</v>
      </c>
      <c r="AH6" s="17">
        <f t="shared" si="0"/>
        <v>2025</v>
      </c>
      <c r="AI6" s="17">
        <f t="shared" si="0"/>
        <v>2025</v>
      </c>
      <c r="AJ6" s="17">
        <f t="shared" si="0"/>
        <v>2025</v>
      </c>
      <c r="AK6" s="17">
        <f t="shared" si="0"/>
        <v>2025</v>
      </c>
      <c r="AL6" s="17">
        <f t="shared" si="0"/>
        <v>2026</v>
      </c>
      <c r="AM6" s="17">
        <f t="shared" si="0"/>
        <v>2026</v>
      </c>
      <c r="AN6" s="17">
        <f t="shared" si="0"/>
        <v>2026</v>
      </c>
      <c r="AO6" s="17">
        <f t="shared" si="0"/>
        <v>2026</v>
      </c>
      <c r="AP6" s="17">
        <f t="shared" si="0"/>
        <v>2026</v>
      </c>
      <c r="AQ6" s="18">
        <f t="shared" si="0"/>
        <v>2026</v>
      </c>
      <c r="AR6" s="17">
        <f t="shared" si="0"/>
        <v>2026</v>
      </c>
      <c r="AS6" s="17">
        <f t="shared" si="0"/>
        <v>2026</v>
      </c>
      <c r="AT6" s="17">
        <f t="shared" si="0"/>
        <v>2026</v>
      </c>
      <c r="AU6" s="17">
        <f t="shared" si="0"/>
        <v>2026</v>
      </c>
      <c r="AV6" s="17">
        <f t="shared" si="0"/>
        <v>2026</v>
      </c>
      <c r="AW6" s="17">
        <f t="shared" si="0"/>
        <v>2026</v>
      </c>
      <c r="AX6" s="17">
        <f t="shared" si="0"/>
        <v>2027</v>
      </c>
      <c r="AY6" s="17">
        <f t="shared" si="0"/>
        <v>2027</v>
      </c>
      <c r="AZ6" s="17">
        <f t="shared" si="0"/>
        <v>2027</v>
      </c>
      <c r="BA6" s="17">
        <f t="shared" si="0"/>
        <v>2027</v>
      </c>
      <c r="BB6" s="17">
        <f t="shared" si="0"/>
        <v>2027</v>
      </c>
      <c r="BC6" s="17">
        <f t="shared" si="0"/>
        <v>2027</v>
      </c>
      <c r="BD6" s="17">
        <f t="shared" si="0"/>
        <v>2027</v>
      </c>
      <c r="BE6" s="17">
        <f t="shared" si="0"/>
        <v>2027</v>
      </c>
      <c r="BF6" s="17">
        <f t="shared" si="0"/>
        <v>2027</v>
      </c>
      <c r="BG6" s="17">
        <f t="shared" si="0"/>
        <v>2027</v>
      </c>
      <c r="BH6" s="17">
        <f t="shared" si="0"/>
        <v>2027</v>
      </c>
      <c r="BI6" s="17">
        <f t="shared" si="0"/>
        <v>2027</v>
      </c>
      <c r="BJ6" s="17">
        <f t="shared" si="0"/>
        <v>2028</v>
      </c>
      <c r="BK6" s="17">
        <f t="shared" si="0"/>
        <v>2028</v>
      </c>
      <c r="BL6" s="17">
        <f t="shared" si="0"/>
        <v>2028</v>
      </c>
      <c r="BM6" s="17">
        <f t="shared" si="0"/>
        <v>2028</v>
      </c>
      <c r="BN6" s="17">
        <f t="shared" si="0"/>
        <v>2028</v>
      </c>
      <c r="BO6" s="17">
        <f t="shared" ref="BO6:CG6" si="1">YEAR(BO4)</f>
        <v>2028</v>
      </c>
      <c r="BP6" s="17">
        <f t="shared" si="1"/>
        <v>2028</v>
      </c>
      <c r="BQ6" s="17">
        <f t="shared" si="1"/>
        <v>2028</v>
      </c>
      <c r="BR6" s="17">
        <f t="shared" si="1"/>
        <v>2028</v>
      </c>
      <c r="BS6" s="17">
        <f t="shared" si="1"/>
        <v>2028</v>
      </c>
      <c r="BT6" s="17">
        <f t="shared" si="1"/>
        <v>2028</v>
      </c>
      <c r="BU6" s="17">
        <f t="shared" si="1"/>
        <v>2028</v>
      </c>
      <c r="BV6" s="17">
        <f t="shared" si="1"/>
        <v>2029</v>
      </c>
      <c r="BW6" s="17">
        <f t="shared" si="1"/>
        <v>2029</v>
      </c>
      <c r="BX6" s="17">
        <f t="shared" si="1"/>
        <v>2029</v>
      </c>
      <c r="BY6" s="17">
        <f t="shared" si="1"/>
        <v>2029</v>
      </c>
      <c r="BZ6" s="17">
        <f t="shared" si="1"/>
        <v>2029</v>
      </c>
      <c r="CA6" s="17">
        <f t="shared" si="1"/>
        <v>2029</v>
      </c>
      <c r="CB6" s="17">
        <f t="shared" si="1"/>
        <v>2029</v>
      </c>
      <c r="CC6" s="17">
        <f t="shared" si="1"/>
        <v>2029</v>
      </c>
      <c r="CD6" s="17">
        <f t="shared" si="1"/>
        <v>2029</v>
      </c>
      <c r="CE6" s="17">
        <f t="shared" si="1"/>
        <v>2029</v>
      </c>
      <c r="CF6" s="17">
        <f t="shared" si="1"/>
        <v>2029</v>
      </c>
      <c r="CG6" s="17">
        <f t="shared" si="1"/>
        <v>2029</v>
      </c>
    </row>
    <row r="7" spans="1:85" s="6" customFormat="1" ht="15" thickBot="1" x14ac:dyDescent="0.35">
      <c r="A7" s="20" t="s">
        <v>23</v>
      </c>
      <c r="B7" s="21" t="str">
        <f>"Q"&amp;ROUNDUP(MONTH(B4)/3,0)</f>
        <v>Q1</v>
      </c>
      <c r="C7" s="21" t="str">
        <f t="shared" ref="C7:BN7" si="2">"Q"&amp;ROUNDUP(MONTH(C4)/3,0)</f>
        <v>Q1</v>
      </c>
      <c r="D7" s="21" t="str">
        <f t="shared" si="2"/>
        <v>Q1</v>
      </c>
      <c r="E7" s="21" t="str">
        <f t="shared" si="2"/>
        <v>Q2</v>
      </c>
      <c r="F7" s="21" t="str">
        <f t="shared" si="2"/>
        <v>Q2</v>
      </c>
      <c r="G7" s="21" t="str">
        <f t="shared" si="2"/>
        <v>Q2</v>
      </c>
      <c r="H7" s="21" t="str">
        <f t="shared" si="2"/>
        <v>Q3</v>
      </c>
      <c r="I7" s="21" t="str">
        <f t="shared" si="2"/>
        <v>Q3</v>
      </c>
      <c r="J7" s="21" t="str">
        <f t="shared" si="2"/>
        <v>Q3</v>
      </c>
      <c r="K7" s="21" t="str">
        <f t="shared" si="2"/>
        <v>Q4</v>
      </c>
      <c r="L7" s="21" t="str">
        <f t="shared" si="2"/>
        <v>Q4</v>
      </c>
      <c r="M7" s="21" t="str">
        <f t="shared" si="2"/>
        <v>Q4</v>
      </c>
      <c r="N7" s="21" t="str">
        <f t="shared" si="2"/>
        <v>Q1</v>
      </c>
      <c r="O7" s="21" t="str">
        <f t="shared" si="2"/>
        <v>Q1</v>
      </c>
      <c r="P7" s="21" t="str">
        <f t="shared" si="2"/>
        <v>Q1</v>
      </c>
      <c r="Q7" s="21" t="str">
        <f t="shared" si="2"/>
        <v>Q2</v>
      </c>
      <c r="R7" s="21" t="str">
        <f t="shared" si="2"/>
        <v>Q2</v>
      </c>
      <c r="S7" s="21" t="str">
        <f t="shared" si="2"/>
        <v>Q2</v>
      </c>
      <c r="T7" s="21" t="str">
        <f t="shared" si="2"/>
        <v>Q3</v>
      </c>
      <c r="U7" s="21" t="str">
        <f t="shared" si="2"/>
        <v>Q3</v>
      </c>
      <c r="V7" s="21" t="str">
        <f t="shared" si="2"/>
        <v>Q3</v>
      </c>
      <c r="W7" s="21" t="str">
        <f t="shared" si="2"/>
        <v>Q4</v>
      </c>
      <c r="X7" s="21" t="str">
        <f t="shared" si="2"/>
        <v>Q4</v>
      </c>
      <c r="Y7" s="21" t="str">
        <f t="shared" si="2"/>
        <v>Q4</v>
      </c>
      <c r="Z7" s="21" t="str">
        <f t="shared" si="2"/>
        <v>Q1</v>
      </c>
      <c r="AA7" s="21" t="str">
        <f t="shared" si="2"/>
        <v>Q1</v>
      </c>
      <c r="AB7" s="21" t="str">
        <f t="shared" si="2"/>
        <v>Q1</v>
      </c>
      <c r="AC7" s="21" t="str">
        <f t="shared" si="2"/>
        <v>Q2</v>
      </c>
      <c r="AD7" s="21" t="str">
        <f t="shared" si="2"/>
        <v>Q2</v>
      </c>
      <c r="AE7" s="21" t="str">
        <f t="shared" si="2"/>
        <v>Q2</v>
      </c>
      <c r="AF7" s="21" t="str">
        <f t="shared" si="2"/>
        <v>Q3</v>
      </c>
      <c r="AG7" s="21" t="str">
        <f t="shared" si="2"/>
        <v>Q3</v>
      </c>
      <c r="AH7" s="21" t="str">
        <f t="shared" si="2"/>
        <v>Q3</v>
      </c>
      <c r="AI7" s="21" t="str">
        <f t="shared" si="2"/>
        <v>Q4</v>
      </c>
      <c r="AJ7" s="21" t="str">
        <f t="shared" si="2"/>
        <v>Q4</v>
      </c>
      <c r="AK7" s="21" t="str">
        <f t="shared" si="2"/>
        <v>Q4</v>
      </c>
      <c r="AL7" s="21" t="str">
        <f t="shared" si="2"/>
        <v>Q1</v>
      </c>
      <c r="AM7" s="21" t="str">
        <f t="shared" si="2"/>
        <v>Q1</v>
      </c>
      <c r="AN7" s="21" t="str">
        <f t="shared" si="2"/>
        <v>Q1</v>
      </c>
      <c r="AO7" s="21" t="str">
        <f t="shared" si="2"/>
        <v>Q2</v>
      </c>
      <c r="AP7" s="21" t="str">
        <f t="shared" si="2"/>
        <v>Q2</v>
      </c>
      <c r="AQ7" s="22" t="str">
        <f t="shared" si="2"/>
        <v>Q2</v>
      </c>
      <c r="AR7" s="21" t="str">
        <f t="shared" si="2"/>
        <v>Q3</v>
      </c>
      <c r="AS7" s="21" t="str">
        <f t="shared" si="2"/>
        <v>Q3</v>
      </c>
      <c r="AT7" s="21" t="str">
        <f t="shared" si="2"/>
        <v>Q3</v>
      </c>
      <c r="AU7" s="21" t="str">
        <f t="shared" si="2"/>
        <v>Q4</v>
      </c>
      <c r="AV7" s="21" t="str">
        <f t="shared" si="2"/>
        <v>Q4</v>
      </c>
      <c r="AW7" s="21" t="str">
        <f t="shared" si="2"/>
        <v>Q4</v>
      </c>
      <c r="AX7" s="21" t="str">
        <f t="shared" si="2"/>
        <v>Q1</v>
      </c>
      <c r="AY7" s="21" t="str">
        <f t="shared" si="2"/>
        <v>Q1</v>
      </c>
      <c r="AZ7" s="21" t="str">
        <f t="shared" si="2"/>
        <v>Q1</v>
      </c>
      <c r="BA7" s="21" t="str">
        <f t="shared" si="2"/>
        <v>Q2</v>
      </c>
      <c r="BB7" s="21" t="str">
        <f t="shared" si="2"/>
        <v>Q2</v>
      </c>
      <c r="BC7" s="21" t="str">
        <f t="shared" si="2"/>
        <v>Q2</v>
      </c>
      <c r="BD7" s="21" t="str">
        <f t="shared" si="2"/>
        <v>Q3</v>
      </c>
      <c r="BE7" s="21" t="str">
        <f t="shared" si="2"/>
        <v>Q3</v>
      </c>
      <c r="BF7" s="21" t="str">
        <f t="shared" si="2"/>
        <v>Q3</v>
      </c>
      <c r="BG7" s="21" t="str">
        <f t="shared" si="2"/>
        <v>Q4</v>
      </c>
      <c r="BH7" s="21" t="str">
        <f t="shared" si="2"/>
        <v>Q4</v>
      </c>
      <c r="BI7" s="21" t="str">
        <f t="shared" si="2"/>
        <v>Q4</v>
      </c>
      <c r="BJ7" s="21" t="str">
        <f t="shared" si="2"/>
        <v>Q1</v>
      </c>
      <c r="BK7" s="21" t="str">
        <f t="shared" si="2"/>
        <v>Q1</v>
      </c>
      <c r="BL7" s="21" t="str">
        <f t="shared" si="2"/>
        <v>Q1</v>
      </c>
      <c r="BM7" s="21" t="str">
        <f t="shared" si="2"/>
        <v>Q2</v>
      </c>
      <c r="BN7" s="21" t="str">
        <f t="shared" si="2"/>
        <v>Q2</v>
      </c>
      <c r="BO7" s="21" t="str">
        <f t="shared" ref="BO7:CG7" si="3">"Q"&amp;ROUNDUP(MONTH(BO4)/3,0)</f>
        <v>Q2</v>
      </c>
      <c r="BP7" s="21" t="str">
        <f t="shared" si="3"/>
        <v>Q3</v>
      </c>
      <c r="BQ7" s="21" t="str">
        <f t="shared" si="3"/>
        <v>Q3</v>
      </c>
      <c r="BR7" s="21" t="str">
        <f t="shared" si="3"/>
        <v>Q3</v>
      </c>
      <c r="BS7" s="21" t="str">
        <f t="shared" si="3"/>
        <v>Q4</v>
      </c>
      <c r="BT7" s="21" t="str">
        <f t="shared" si="3"/>
        <v>Q4</v>
      </c>
      <c r="BU7" s="21" t="str">
        <f t="shared" si="3"/>
        <v>Q4</v>
      </c>
      <c r="BV7" s="21" t="str">
        <f t="shared" si="3"/>
        <v>Q1</v>
      </c>
      <c r="BW7" s="21" t="str">
        <f t="shared" si="3"/>
        <v>Q1</v>
      </c>
      <c r="BX7" s="21" t="str">
        <f t="shared" si="3"/>
        <v>Q1</v>
      </c>
      <c r="BY7" s="21" t="str">
        <f t="shared" si="3"/>
        <v>Q2</v>
      </c>
      <c r="BZ7" s="21" t="str">
        <f t="shared" si="3"/>
        <v>Q2</v>
      </c>
      <c r="CA7" s="21" t="str">
        <f t="shared" si="3"/>
        <v>Q2</v>
      </c>
      <c r="CB7" s="21" t="str">
        <f t="shared" si="3"/>
        <v>Q3</v>
      </c>
      <c r="CC7" s="21" t="str">
        <f t="shared" si="3"/>
        <v>Q3</v>
      </c>
      <c r="CD7" s="21" t="str">
        <f t="shared" si="3"/>
        <v>Q3</v>
      </c>
      <c r="CE7" s="21" t="str">
        <f t="shared" si="3"/>
        <v>Q4</v>
      </c>
      <c r="CF7" s="21" t="str">
        <f t="shared" si="3"/>
        <v>Q4</v>
      </c>
      <c r="CG7" s="21" t="str">
        <f t="shared" si="3"/>
        <v>Q4</v>
      </c>
    </row>
    <row r="8" spans="1:85" x14ac:dyDescent="0.3">
      <c r="A8" s="96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</row>
    <row r="9" spans="1:85" x14ac:dyDescent="0.3">
      <c r="A9" s="23" t="s">
        <v>256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5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</row>
    <row r="10" spans="1:85" x14ac:dyDescent="0.3">
      <c r="A10" s="26" t="s">
        <v>257</v>
      </c>
      <c r="B10" s="27">
        <f>'05_Monthly_Model'!B31</f>
        <v>1073080.8399999999</v>
      </c>
      <c r="C10" s="27">
        <f>'05_Monthly_Model'!C31</f>
        <v>584121.34999999974</v>
      </c>
      <c r="D10" s="27">
        <f>'05_Monthly_Model'!D31</f>
        <v>740587.58999999962</v>
      </c>
      <c r="E10" s="27">
        <f>'05_Monthly_Model'!E31</f>
        <v>720385.8</v>
      </c>
      <c r="F10" s="27">
        <f>'05_Monthly_Model'!F31</f>
        <v>848665.75</v>
      </c>
      <c r="G10" s="27">
        <f>'05_Monthly_Model'!G31</f>
        <v>917567.48999999964</v>
      </c>
      <c r="H10" s="27">
        <f>'05_Monthly_Model'!H31</f>
        <v>557672.58000000007</v>
      </c>
      <c r="I10" s="27">
        <f>'05_Monthly_Model'!I31</f>
        <v>648072.02000000048</v>
      </c>
      <c r="J10" s="27">
        <f>'05_Monthly_Model'!J31</f>
        <v>822694.70000000019</v>
      </c>
      <c r="K10" s="27">
        <f>'05_Monthly_Model'!K31</f>
        <v>644302.7200000002</v>
      </c>
      <c r="L10" s="27">
        <f>'05_Monthly_Model'!L31</f>
        <v>620715.9</v>
      </c>
      <c r="M10" s="27">
        <f>'05_Monthly_Model'!M31</f>
        <v>933546.36999999965</v>
      </c>
      <c r="N10" s="27">
        <f>'05_Monthly_Model'!N31</f>
        <v>837677.15999999992</v>
      </c>
      <c r="O10" s="27">
        <f>'05_Monthly_Model'!O31</f>
        <v>1437854.6600000001</v>
      </c>
      <c r="P10" s="27">
        <f>'05_Monthly_Model'!P31</f>
        <v>886877.11999999965</v>
      </c>
      <c r="Q10" s="27">
        <f>'05_Monthly_Model'!Q31</f>
        <v>1320568.1999999988</v>
      </c>
      <c r="R10" s="27">
        <f>'05_Monthly_Model'!R31</f>
        <v>698202.76</v>
      </c>
      <c r="S10" s="27">
        <f>'05_Monthly_Model'!S31</f>
        <v>1205625.3699999999</v>
      </c>
      <c r="T10" s="27">
        <f>'05_Monthly_Model'!T31</f>
        <v>971534.29000000074</v>
      </c>
      <c r="U10" s="27">
        <f>'05_Monthly_Model'!U31</f>
        <v>950379.83</v>
      </c>
      <c r="V10" s="27">
        <f>'05_Monthly_Model'!V31</f>
        <v>995200.12000000034</v>
      </c>
      <c r="W10" s="27">
        <f>'05_Monthly_Model'!W31</f>
        <v>1146166.7900000005</v>
      </c>
      <c r="X10" s="27">
        <f>'05_Monthly_Model'!X31</f>
        <v>832101.14000000013</v>
      </c>
      <c r="Y10" s="27">
        <f>'05_Monthly_Model'!Y31</f>
        <v>925259.56000000017</v>
      </c>
      <c r="Z10" s="27">
        <f>'05_Monthly_Model'!Z31</f>
        <v>1322677.7099999993</v>
      </c>
      <c r="AA10" s="27">
        <f>'05_Monthly_Model'!AA31</f>
        <v>1073375.5000000002</v>
      </c>
      <c r="AB10" s="27">
        <f>'05_Monthly_Model'!AB31</f>
        <v>934013.59999999986</v>
      </c>
      <c r="AC10" s="27">
        <f>'05_Monthly_Model'!AC31</f>
        <v>1167503.139999999</v>
      </c>
      <c r="AD10" s="27">
        <f>'05_Monthly_Model'!AD31</f>
        <v>1155181.1300000006</v>
      </c>
      <c r="AE10" s="27">
        <f>'05_Monthly_Model'!AE31</f>
        <v>1024357.94</v>
      </c>
      <c r="AF10" s="27">
        <f>'05_Monthly_Model'!AF31</f>
        <v>1394048.8000000005</v>
      </c>
      <c r="AG10" s="27">
        <f>'05_Monthly_Model'!AG31</f>
        <v>1217837.2700000007</v>
      </c>
      <c r="AH10" s="27">
        <f>'05_Monthly_Model'!AH31</f>
        <v>1138079.6700000002</v>
      </c>
      <c r="AI10" s="27">
        <f>'05_Monthly_Model'!AI31</f>
        <v>1612570.3900000006</v>
      </c>
      <c r="AJ10" s="27">
        <f>'05_Monthly_Model'!AJ31</f>
        <v>961450.54000000015</v>
      </c>
      <c r="AK10" s="27">
        <f>'05_Monthly_Model'!AK31</f>
        <v>1086816.2700000005</v>
      </c>
      <c r="AL10" s="27">
        <f>'05_Monthly_Model'!AL31</f>
        <v>1487011.8400000001</v>
      </c>
      <c r="AM10" s="27">
        <f>'05_Monthly_Model'!AM31</f>
        <v>1164321.5199999996</v>
      </c>
      <c r="AN10" s="27">
        <f>'05_Monthly_Model'!AN31</f>
        <v>1519994.6299999997</v>
      </c>
      <c r="AO10" s="27">
        <f>'05_Monthly_Model'!AO31</f>
        <v>2199257.9699999993</v>
      </c>
      <c r="AP10" s="27">
        <f>'05_Monthly_Model'!AP31</f>
        <v>3903899.9999999981</v>
      </c>
      <c r="AQ10" s="27">
        <f>'05_Monthly_Model'!AQ31</f>
        <v>6393361.0199999949</v>
      </c>
      <c r="AR10" s="27">
        <f>'05_Monthly_Model'!AR31</f>
        <v>911569.79037600034</v>
      </c>
      <c r="AS10" s="27">
        <f>'05_Monthly_Model'!AS31</f>
        <v>918862.34869900835</v>
      </c>
      <c r="AT10" s="27">
        <f>'05_Monthly_Model'!AT31</f>
        <v>926213.24748860043</v>
      </c>
      <c r="AU10" s="27">
        <f>'05_Monthly_Model'!AU31</f>
        <v>933622.95346850937</v>
      </c>
      <c r="AV10" s="27">
        <f>'05_Monthly_Model'!AV31</f>
        <v>941091.93709625734</v>
      </c>
      <c r="AW10" s="27">
        <f>'05_Monthly_Model'!AW31</f>
        <v>948620.67259302747</v>
      </c>
      <c r="AX10" s="27">
        <f>'05_Monthly_Model'!AX31</f>
        <v>956209.63797377166</v>
      </c>
      <c r="AY10" s="27">
        <f>'05_Monthly_Model'!AY31</f>
        <v>963859.31507756189</v>
      </c>
      <c r="AZ10" s="27">
        <f>'05_Monthly_Model'!AZ31</f>
        <v>971570.18959818233</v>
      </c>
      <c r="BA10" s="27">
        <f>'05_Monthly_Model'!BA31</f>
        <v>979342.75111496786</v>
      </c>
      <c r="BB10" s="27">
        <f>'05_Monthly_Model'!BB31</f>
        <v>987177.49312388757</v>
      </c>
      <c r="BC10" s="27">
        <f>'05_Monthly_Model'!BC31</f>
        <v>995074.9130688787</v>
      </c>
      <c r="BD10" s="27">
        <f>'05_Monthly_Model'!BD31</f>
        <v>1003035.5123734297</v>
      </c>
      <c r="BE10" s="27">
        <f>'05_Monthly_Model'!BE31</f>
        <v>1011059.7964724172</v>
      </c>
      <c r="BF10" s="27">
        <f>'05_Monthly_Model'!BF31</f>
        <v>1019148.2748441965</v>
      </c>
      <c r="BG10" s="27">
        <f>'05_Monthly_Model'!BG31</f>
        <v>1027301.4610429502</v>
      </c>
      <c r="BH10" s="27">
        <f>'05_Monthly_Model'!BH31</f>
        <v>1035519.8727312938</v>
      </c>
      <c r="BI10" s="27">
        <f>'05_Monthly_Model'!BI31</f>
        <v>1043804.0317131442</v>
      </c>
      <c r="BJ10" s="27">
        <f>'05_Monthly_Model'!BJ31</f>
        <v>1052154.4639668493</v>
      </c>
      <c r="BK10" s="27">
        <f>'05_Monthly_Model'!BK31</f>
        <v>1060571.6996785842</v>
      </c>
      <c r="BL10" s="27">
        <f>'05_Monthly_Model'!BL31</f>
        <v>1069056.2732760129</v>
      </c>
      <c r="BM10" s="27">
        <f>'05_Monthly_Model'!BM31</f>
        <v>1077608.723462221</v>
      </c>
      <c r="BN10" s="27">
        <f>'05_Monthly_Model'!BN31</f>
        <v>1086229.5932499187</v>
      </c>
      <c r="BO10" s="27">
        <f>'05_Monthly_Model'!BO31</f>
        <v>1094919.4299959179</v>
      </c>
      <c r="BP10" s="27">
        <f>'05_Monthly_Model'!BP31</f>
        <v>1103678.7854358854</v>
      </c>
      <c r="BQ10" s="27">
        <f>'05_Monthly_Model'!BQ31</f>
        <v>1112508.2157193725</v>
      </c>
      <c r="BR10" s="27">
        <f>'05_Monthly_Model'!BR31</f>
        <v>1121408.2814451274</v>
      </c>
      <c r="BS10" s="27">
        <f>'05_Monthly_Model'!BS31</f>
        <v>1130379.5476966887</v>
      </c>
      <c r="BT10" s="27">
        <f>'05_Monthly_Model'!BT31</f>
        <v>1139422.5840782621</v>
      </c>
      <c r="BU10" s="27">
        <f>'05_Monthly_Model'!BU31</f>
        <v>1148537.9647508883</v>
      </c>
      <c r="BV10" s="27">
        <f>'05_Monthly_Model'!BV31</f>
        <v>1157726.2684688955</v>
      </c>
      <c r="BW10" s="27">
        <f>'05_Monthly_Model'!BW31</f>
        <v>1166988.0786166466</v>
      </c>
      <c r="BX10" s="27">
        <f>'05_Monthly_Model'!BX31</f>
        <v>1176323.9832455798</v>
      </c>
      <c r="BY10" s="27">
        <f>'05_Monthly_Model'!BY31</f>
        <v>1185734.5751115445</v>
      </c>
      <c r="BZ10" s="27">
        <f>'05_Monthly_Model'!BZ31</f>
        <v>1195220.4517124367</v>
      </c>
      <c r="CA10" s="27">
        <f>'05_Monthly_Model'!CA31</f>
        <v>1204782.2153261364</v>
      </c>
      <c r="CB10" s="27">
        <f>'05_Monthly_Model'!CB31</f>
        <v>1214420.4730487454</v>
      </c>
      <c r="CC10" s="27">
        <f>'05_Monthly_Model'!CC31</f>
        <v>1224135.8368331355</v>
      </c>
      <c r="CD10" s="27">
        <f>'05_Monthly_Model'!CD31</f>
        <v>1233928.9235278005</v>
      </c>
      <c r="CE10" s="27">
        <f>'05_Monthly_Model'!CE31</f>
        <v>1243800.3549160229</v>
      </c>
      <c r="CF10" s="27">
        <f>'05_Monthly_Model'!CF31</f>
        <v>1253750.757755351</v>
      </c>
      <c r="CG10" s="27">
        <f>'05_Monthly_Model'!CG31</f>
        <v>1263780.7638173939</v>
      </c>
    </row>
    <row r="11" spans="1:85" x14ac:dyDescent="0.3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</row>
    <row r="12" spans="1:85" x14ac:dyDescent="0.3">
      <c r="A12" s="23" t="s">
        <v>258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5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</row>
    <row r="13" spans="1:85" x14ac:dyDescent="0.3">
      <c r="A13" s="26" t="s">
        <v>259</v>
      </c>
      <c r="B13" s="27">
        <f>'05_Monthly_Model'!B32</f>
        <v>0</v>
      </c>
      <c r="C13" s="27">
        <f>'05_Monthly_Model'!C32</f>
        <v>0</v>
      </c>
      <c r="D13" s="27">
        <f>'05_Monthly_Model'!D32</f>
        <v>0</v>
      </c>
      <c r="E13" s="27">
        <f>'05_Monthly_Model'!E32</f>
        <v>0</v>
      </c>
      <c r="F13" s="27">
        <f>'05_Monthly_Model'!F32</f>
        <v>0</v>
      </c>
      <c r="G13" s="27">
        <f>'05_Monthly_Model'!G32</f>
        <v>0</v>
      </c>
      <c r="H13" s="27">
        <f>'05_Monthly_Model'!H32</f>
        <v>0</v>
      </c>
      <c r="I13" s="27">
        <f>'05_Monthly_Model'!I32</f>
        <v>0</v>
      </c>
      <c r="J13" s="27">
        <f>'05_Monthly_Model'!J32</f>
        <v>0</v>
      </c>
      <c r="K13" s="27">
        <f>'05_Monthly_Model'!K32</f>
        <v>0</v>
      </c>
      <c r="L13" s="27">
        <f>'05_Monthly_Model'!L32</f>
        <v>0</v>
      </c>
      <c r="M13" s="27">
        <f>'05_Monthly_Model'!M32</f>
        <v>0</v>
      </c>
      <c r="N13" s="27">
        <f>'05_Monthly_Model'!N32</f>
        <v>0</v>
      </c>
      <c r="O13" s="27">
        <f>'05_Monthly_Model'!O32</f>
        <v>0</v>
      </c>
      <c r="P13" s="27">
        <f>'05_Monthly_Model'!P32</f>
        <v>0</v>
      </c>
      <c r="Q13" s="27">
        <f>'05_Monthly_Model'!Q32</f>
        <v>0</v>
      </c>
      <c r="R13" s="27">
        <f>'05_Monthly_Model'!R32</f>
        <v>0</v>
      </c>
      <c r="S13" s="27">
        <f>'05_Monthly_Model'!S32</f>
        <v>0</v>
      </c>
      <c r="T13" s="27">
        <f>'05_Monthly_Model'!T32</f>
        <v>0</v>
      </c>
      <c r="U13" s="27">
        <f>'05_Monthly_Model'!U32</f>
        <v>0</v>
      </c>
      <c r="V13" s="27">
        <f>'05_Monthly_Model'!V32</f>
        <v>0</v>
      </c>
      <c r="W13" s="27">
        <f>'05_Monthly_Model'!W32</f>
        <v>0</v>
      </c>
      <c r="X13" s="27">
        <f>'05_Monthly_Model'!X32</f>
        <v>0</v>
      </c>
      <c r="Y13" s="27">
        <f>'05_Monthly_Model'!Y32</f>
        <v>0</v>
      </c>
      <c r="Z13" s="27">
        <f>'05_Monthly_Model'!Z32</f>
        <v>0</v>
      </c>
      <c r="AA13" s="27">
        <f>'05_Monthly_Model'!AA32</f>
        <v>0</v>
      </c>
      <c r="AB13" s="27">
        <f>'05_Monthly_Model'!AB32</f>
        <v>0</v>
      </c>
      <c r="AC13" s="27">
        <f>'05_Monthly_Model'!AC32</f>
        <v>0</v>
      </c>
      <c r="AD13" s="27">
        <f>'05_Monthly_Model'!AD32</f>
        <v>0</v>
      </c>
      <c r="AE13" s="27">
        <f>'05_Monthly_Model'!AE32</f>
        <v>0</v>
      </c>
      <c r="AF13" s="27">
        <f>'05_Monthly_Model'!AF32</f>
        <v>0</v>
      </c>
      <c r="AG13" s="27">
        <f>'05_Monthly_Model'!AG32</f>
        <v>0</v>
      </c>
      <c r="AH13" s="27">
        <f>'05_Monthly_Model'!AH32</f>
        <v>0</v>
      </c>
      <c r="AI13" s="27">
        <f>'05_Monthly_Model'!AI32</f>
        <v>0</v>
      </c>
      <c r="AJ13" s="27">
        <f>'05_Monthly_Model'!AJ32</f>
        <v>0</v>
      </c>
      <c r="AK13" s="27">
        <f>'05_Monthly_Model'!AK32</f>
        <v>0</v>
      </c>
      <c r="AL13" s="27">
        <f>'05_Monthly_Model'!AL32</f>
        <v>0</v>
      </c>
      <c r="AM13" s="27">
        <f>'05_Monthly_Model'!AM32</f>
        <v>0</v>
      </c>
      <c r="AN13" s="27">
        <f>'05_Monthly_Model'!AN32</f>
        <v>0</v>
      </c>
      <c r="AO13" s="27">
        <f>'05_Monthly_Model'!AO32</f>
        <v>0</v>
      </c>
      <c r="AP13" s="27">
        <f>'05_Monthly_Model'!AP32</f>
        <v>0</v>
      </c>
      <c r="AQ13" s="27">
        <f>'05_Monthly_Model'!AQ32</f>
        <v>2647064.0100000007</v>
      </c>
      <c r="AR13" s="27">
        <f>'05_Monthly_Model'!AR32</f>
        <v>9407.5732800000005</v>
      </c>
      <c r="AS13" s="27">
        <f>'05_Monthly_Model'!AS32</f>
        <v>9482.8338662400001</v>
      </c>
      <c r="AT13" s="27">
        <f>'05_Monthly_Model'!AT32</f>
        <v>9558.6965371699189</v>
      </c>
      <c r="AU13" s="27">
        <f>'05_Monthly_Model'!AU32</f>
        <v>9635.16610946728</v>
      </c>
      <c r="AV13" s="27">
        <f>'05_Monthly_Model'!AV32</f>
        <v>9712.2474383430181</v>
      </c>
      <c r="AW13" s="27">
        <f>'05_Monthly_Model'!AW32</f>
        <v>9789.9454178497635</v>
      </c>
      <c r="AX13" s="27">
        <f>'05_Monthly_Model'!AX32</f>
        <v>9868.2649811925603</v>
      </c>
      <c r="AY13" s="27">
        <f>'05_Monthly_Model'!AY32</f>
        <v>9947.2111010420995</v>
      </c>
      <c r="AZ13" s="27">
        <f>'05_Monthly_Model'!AZ32</f>
        <v>10026.788789850438</v>
      </c>
      <c r="BA13" s="27">
        <f>'05_Monthly_Model'!BA32</f>
        <v>10107.00310016924</v>
      </c>
      <c r="BB13" s="27">
        <f>'05_Monthly_Model'!BB32</f>
        <v>10187.859124970593</v>
      </c>
      <c r="BC13" s="27">
        <f>'05_Monthly_Model'!BC32</f>
        <v>10269.36199797036</v>
      </c>
      <c r="BD13" s="27">
        <f>'05_Monthly_Model'!BD32</f>
        <v>10351.516893954124</v>
      </c>
      <c r="BE13" s="27">
        <f>'05_Monthly_Model'!BE32</f>
        <v>10434.329029105755</v>
      </c>
      <c r="BF13" s="27">
        <f>'05_Monthly_Model'!BF32</f>
        <v>10517.803661338603</v>
      </c>
      <c r="BG13" s="27">
        <f>'05_Monthly_Model'!BG32</f>
        <v>10601.94609062931</v>
      </c>
      <c r="BH13" s="27">
        <f>'05_Monthly_Model'!BH32</f>
        <v>10686.761659354346</v>
      </c>
      <c r="BI13" s="27">
        <f>'05_Monthly_Model'!BI32</f>
        <v>10772.25575262918</v>
      </c>
      <c r="BJ13" s="27">
        <f>'05_Monthly_Model'!BJ32</f>
        <v>10858.433798650214</v>
      </c>
      <c r="BK13" s="27">
        <f>'05_Monthly_Model'!BK32</f>
        <v>10945.301269039415</v>
      </c>
      <c r="BL13" s="27">
        <f>'05_Monthly_Model'!BL32</f>
        <v>11032.863679191732</v>
      </c>
      <c r="BM13" s="27">
        <f>'05_Monthly_Model'!BM32</f>
        <v>11121.126588625266</v>
      </c>
      <c r="BN13" s="27">
        <f>'05_Monthly_Model'!BN32</f>
        <v>11210.095601334267</v>
      </c>
      <c r="BO13" s="27">
        <f>'05_Monthly_Model'!BO32</f>
        <v>11299.776366144943</v>
      </c>
      <c r="BP13" s="27">
        <f>'05_Monthly_Model'!BP32</f>
        <v>11390.174577074102</v>
      </c>
      <c r="BQ13" s="27">
        <f>'05_Monthly_Model'!BQ32</f>
        <v>11481.295973690694</v>
      </c>
      <c r="BR13" s="27">
        <f>'05_Monthly_Model'!BR32</f>
        <v>11573.14634148022</v>
      </c>
      <c r="BS13" s="27">
        <f>'05_Monthly_Model'!BS32</f>
        <v>11665.731512212062</v>
      </c>
      <c r="BT13" s="27">
        <f>'05_Monthly_Model'!BT32</f>
        <v>11759.057364309758</v>
      </c>
      <c r="BU13" s="27">
        <f>'05_Monthly_Model'!BU32</f>
        <v>11853.129823224237</v>
      </c>
      <c r="BV13" s="27">
        <f>'05_Monthly_Model'!BV32</f>
        <v>11947.954861810031</v>
      </c>
      <c r="BW13" s="27">
        <f>'05_Monthly_Model'!BW32</f>
        <v>12043.53850070451</v>
      </c>
      <c r="BX13" s="27">
        <f>'05_Monthly_Model'!BX32</f>
        <v>12139.886808710145</v>
      </c>
      <c r="BY13" s="27">
        <f>'05_Monthly_Model'!BY32</f>
        <v>12237.005903179828</v>
      </c>
      <c r="BZ13" s="27">
        <f>'05_Monthly_Model'!BZ32</f>
        <v>12334.901950405267</v>
      </c>
      <c r="CA13" s="27">
        <f>'05_Monthly_Model'!CA32</f>
        <v>12433.581166008507</v>
      </c>
      <c r="CB13" s="27">
        <f>'05_Monthly_Model'!CB32</f>
        <v>12533.049815336575</v>
      </c>
      <c r="CC13" s="27">
        <f>'05_Monthly_Model'!CC32</f>
        <v>12633.314213859268</v>
      </c>
      <c r="CD13" s="27">
        <f>'05_Monthly_Model'!CD32</f>
        <v>12734.380727570142</v>
      </c>
      <c r="CE13" s="27">
        <f>'05_Monthly_Model'!CE32</f>
        <v>12836.255773390703</v>
      </c>
      <c r="CF13" s="27">
        <f>'05_Monthly_Model'!CF32</f>
        <v>12938.94581957783</v>
      </c>
      <c r="CG13" s="27">
        <f>'05_Monthly_Model'!CG32</f>
        <v>13042.457386134452</v>
      </c>
    </row>
    <row r="14" spans="1:85" x14ac:dyDescent="0.3">
      <c r="A14" s="26" t="s">
        <v>33</v>
      </c>
      <c r="B14" s="29">
        <f>'05_Monthly_Model'!B33</f>
        <v>2788373.4299999997</v>
      </c>
      <c r="C14" s="29">
        <f>'05_Monthly_Model'!C33</f>
        <v>4663315.78</v>
      </c>
      <c r="D14" s="29">
        <f>'05_Monthly_Model'!D33</f>
        <v>6214122.29</v>
      </c>
      <c r="E14" s="29">
        <f>'05_Monthly_Model'!E33</f>
        <v>7963201.0499999998</v>
      </c>
      <c r="F14" s="29">
        <f>'05_Monthly_Model'!F33</f>
        <v>9081122.6099999994</v>
      </c>
      <c r="G14" s="29">
        <f>'05_Monthly_Model'!G33</f>
        <v>10830418.390000001</v>
      </c>
      <c r="H14" s="29">
        <f>'05_Monthly_Model'!H33</f>
        <v>11719083.4</v>
      </c>
      <c r="I14" s="29">
        <f>'05_Monthly_Model'!I33</f>
        <v>12743267.700000001</v>
      </c>
      <c r="J14" s="29">
        <f>'05_Monthly_Model'!J33</f>
        <v>13523847.059999999</v>
      </c>
      <c r="K14" s="29">
        <f>'05_Monthly_Model'!K33</f>
        <v>13949224</v>
      </c>
      <c r="L14" s="29">
        <f>'05_Monthly_Model'!L33</f>
        <v>13626975.029999999</v>
      </c>
      <c r="M14" s="29">
        <f>'05_Monthly_Model'!M33</f>
        <v>13878237.35</v>
      </c>
      <c r="N14" s="29">
        <f>'05_Monthly_Model'!N33</f>
        <v>14606165.029999999</v>
      </c>
      <c r="O14" s="29">
        <f>'05_Monthly_Model'!O33</f>
        <v>15219795.709999999</v>
      </c>
      <c r="P14" s="29">
        <f>'05_Monthly_Model'!P33</f>
        <v>15402893.98</v>
      </c>
      <c r="Q14" s="29">
        <f>'05_Monthly_Model'!Q33</f>
        <v>15905703.23</v>
      </c>
      <c r="R14" s="29">
        <f>'05_Monthly_Model'!R33</f>
        <v>16358793.66</v>
      </c>
      <c r="S14" s="29">
        <f>'05_Monthly_Model'!S33</f>
        <v>17251233.030000001</v>
      </c>
      <c r="T14" s="29">
        <f>'05_Monthly_Model'!T33</f>
        <v>17234973.729999997</v>
      </c>
      <c r="U14" s="29">
        <f>'05_Monthly_Model'!U33</f>
        <v>18031813.029999997</v>
      </c>
      <c r="V14" s="29">
        <f>'05_Monthly_Model'!V33</f>
        <v>18205713.25</v>
      </c>
      <c r="W14" s="29">
        <f>'05_Monthly_Model'!W33</f>
        <v>18390102.079999998</v>
      </c>
      <c r="X14" s="29">
        <f>'05_Monthly_Model'!X33</f>
        <v>17682996.18</v>
      </c>
      <c r="Y14" s="29">
        <f>'05_Monthly_Model'!Y33</f>
        <v>17914006.439999998</v>
      </c>
      <c r="Z14" s="29">
        <f>'05_Monthly_Model'!Z33</f>
        <v>18767092.270000003</v>
      </c>
      <c r="AA14" s="29">
        <f>'05_Monthly_Model'!AA33</f>
        <v>19242043.509999998</v>
      </c>
      <c r="AB14" s="29">
        <f>'05_Monthly_Model'!AB33</f>
        <v>19395469.09</v>
      </c>
      <c r="AC14" s="29">
        <f>'05_Monthly_Model'!AC33</f>
        <v>19651900.859999999</v>
      </c>
      <c r="AD14" s="29">
        <f>'05_Monthly_Model'!AD33</f>
        <v>20021486.219999999</v>
      </c>
      <c r="AE14" s="29">
        <f>'05_Monthly_Model'!AE33</f>
        <v>20467639.359999999</v>
      </c>
      <c r="AF14" s="29">
        <f>'05_Monthly_Model'!AF33</f>
        <v>20748534.68</v>
      </c>
      <c r="AG14" s="29">
        <f>'05_Monthly_Model'!AG33</f>
        <v>21670187.98</v>
      </c>
      <c r="AH14" s="29">
        <f>'05_Monthly_Model'!AH33</f>
        <v>21778541.190000001</v>
      </c>
      <c r="AI14" s="29">
        <f>'05_Monthly_Model'!AI33</f>
        <v>21938511.680000003</v>
      </c>
      <c r="AJ14" s="29">
        <f>'05_Monthly_Model'!AJ33</f>
        <v>20968850.690000001</v>
      </c>
      <c r="AK14" s="29">
        <f>'05_Monthly_Model'!AK33</f>
        <v>20964418.640000001</v>
      </c>
      <c r="AL14" s="29">
        <f>'05_Monthly_Model'!AL33</f>
        <v>21395580.07</v>
      </c>
      <c r="AM14" s="29">
        <f>'05_Monthly_Model'!AM33</f>
        <v>21540052.16</v>
      </c>
      <c r="AN14" s="29">
        <f>'05_Monthly_Model'!AN33</f>
        <v>21346945.199999999</v>
      </c>
      <c r="AO14" s="29">
        <f>'05_Monthly_Model'!AO33</f>
        <v>21370973.419999998</v>
      </c>
      <c r="AP14" s="29">
        <f>'05_Monthly_Model'!AP33</f>
        <v>21266996.09</v>
      </c>
      <c r="AQ14" s="29">
        <f>'05_Monthly_Model'!AQ33</f>
        <v>21498508.960000001</v>
      </c>
      <c r="AR14" s="29">
        <f>'05_Monthly_Model'!AR33</f>
        <v>4861705.5486720018</v>
      </c>
      <c r="AS14" s="29">
        <f>'05_Monthly_Model'!AS33</f>
        <v>4900599.1930613779</v>
      </c>
      <c r="AT14" s="29">
        <f>'05_Monthly_Model'!AT33</f>
        <v>4939803.9866058696</v>
      </c>
      <c r="AU14" s="29">
        <f>'05_Monthly_Model'!AU33</f>
        <v>4979322.4184987163</v>
      </c>
      <c r="AV14" s="29">
        <f>'05_Monthly_Model'!AV33</f>
        <v>5019156.9978467068</v>
      </c>
      <c r="AW14" s="29">
        <f>'05_Monthly_Model'!AW33</f>
        <v>5059310.2538294801</v>
      </c>
      <c r="AX14" s="29">
        <f>'05_Monthly_Model'!AX33</f>
        <v>5099784.7358601168</v>
      </c>
      <c r="AY14" s="29">
        <f>'05_Monthly_Model'!AY33</f>
        <v>5140583.0137469973</v>
      </c>
      <c r="AZ14" s="29">
        <f>'05_Monthly_Model'!AZ33</f>
        <v>5181707.6778569734</v>
      </c>
      <c r="BA14" s="29">
        <f>'05_Monthly_Model'!BA33</f>
        <v>5223161.3392798295</v>
      </c>
      <c r="BB14" s="29">
        <f>'05_Monthly_Model'!BB33</f>
        <v>5264946.6299940683</v>
      </c>
      <c r="BC14" s="29">
        <f>'05_Monthly_Model'!BC33</f>
        <v>5307066.203034021</v>
      </c>
      <c r="BD14" s="29">
        <f>'05_Monthly_Model'!BD33</f>
        <v>5349522.7326582931</v>
      </c>
      <c r="BE14" s="29">
        <f>'05_Monthly_Model'!BE33</f>
        <v>5392318.9145195596</v>
      </c>
      <c r="BF14" s="29">
        <f>'05_Monthly_Model'!BF33</f>
        <v>5435457.4658357156</v>
      </c>
      <c r="BG14" s="29">
        <f>'05_Monthly_Model'!BG33</f>
        <v>5478941.1255624015</v>
      </c>
      <c r="BH14" s="29">
        <f>'05_Monthly_Model'!BH33</f>
        <v>5522772.6545669008</v>
      </c>
      <c r="BI14" s="29">
        <f>'05_Monthly_Model'!BI33</f>
        <v>5566954.8358034361</v>
      </c>
      <c r="BJ14" s="29">
        <f>'05_Monthly_Model'!BJ33</f>
        <v>5611490.474489864</v>
      </c>
      <c r="BK14" s="29">
        <f>'05_Monthly_Model'!BK33</f>
        <v>5656382.3982857829</v>
      </c>
      <c r="BL14" s="29">
        <f>'05_Monthly_Model'!BL33</f>
        <v>5701633.4574720692</v>
      </c>
      <c r="BM14" s="29">
        <f>'05_Monthly_Model'!BM33</f>
        <v>5747246.5251318458</v>
      </c>
      <c r="BN14" s="29">
        <f>'05_Monthly_Model'!BN33</f>
        <v>5793224.4973329008</v>
      </c>
      <c r="BO14" s="29">
        <f>'05_Monthly_Model'!BO33</f>
        <v>5839570.2933115633</v>
      </c>
      <c r="BP14" s="29">
        <f>'05_Monthly_Model'!BP33</f>
        <v>5886286.8556580562</v>
      </c>
      <c r="BQ14" s="29">
        <f>'05_Monthly_Model'!BQ33</f>
        <v>5933377.1505033206</v>
      </c>
      <c r="BR14" s="29">
        <f>'05_Monthly_Model'!BR33</f>
        <v>5980844.1677073473</v>
      </c>
      <c r="BS14" s="29">
        <f>'05_Monthly_Model'!BS33</f>
        <v>6028690.9210490063</v>
      </c>
      <c r="BT14" s="29">
        <f>'05_Monthly_Model'!BT33</f>
        <v>6076920.4484173991</v>
      </c>
      <c r="BU14" s="29">
        <f>'05_Monthly_Model'!BU33</f>
        <v>6125535.8120047376</v>
      </c>
      <c r="BV14" s="29">
        <f>'05_Monthly_Model'!BV33</f>
        <v>6174540.0985007761</v>
      </c>
      <c r="BW14" s="29">
        <f>'05_Monthly_Model'!BW33</f>
        <v>6223936.4192887824</v>
      </c>
      <c r="BX14" s="29">
        <f>'05_Monthly_Model'!BX33</f>
        <v>6273727.9106430933</v>
      </c>
      <c r="BY14" s="29">
        <f>'05_Monthly_Model'!BY33</f>
        <v>6323917.7339282371</v>
      </c>
      <c r="BZ14" s="29">
        <f>'05_Monthly_Model'!BZ33</f>
        <v>6374509.0757996636</v>
      </c>
      <c r="CA14" s="29">
        <f>'05_Monthly_Model'!CA33</f>
        <v>6425505.1484060613</v>
      </c>
      <c r="CB14" s="29">
        <f>'05_Monthly_Model'!CB33</f>
        <v>6476909.1895933095</v>
      </c>
      <c r="CC14" s="29">
        <f>'05_Monthly_Model'!CC33</f>
        <v>6528724.4631100558</v>
      </c>
      <c r="CD14" s="29">
        <f>'05_Monthly_Model'!CD33</f>
        <v>6580954.2588149365</v>
      </c>
      <c r="CE14" s="29">
        <f>'05_Monthly_Model'!CE33</f>
        <v>6633601.8928854559</v>
      </c>
      <c r="CF14" s="29">
        <f>'05_Monthly_Model'!CF33</f>
        <v>6686670.70802854</v>
      </c>
      <c r="CG14" s="29">
        <f>'05_Monthly_Model'!CG33</f>
        <v>6740164.0736927679</v>
      </c>
    </row>
    <row r="15" spans="1:85" x14ac:dyDescent="0.3">
      <c r="A15" s="96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</row>
    <row r="16" spans="1:85" x14ac:dyDescent="0.3">
      <c r="A16" s="23" t="s">
        <v>260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5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</row>
    <row r="17" spans="1:85" x14ac:dyDescent="0.3">
      <c r="A17" s="26" t="s">
        <v>260</v>
      </c>
      <c r="B17" s="27">
        <f>B10-B13-B14</f>
        <v>-1715292.5899999999</v>
      </c>
      <c r="C17" s="27">
        <f t="shared" ref="C17:BN17" si="4">C10-C13-C14</f>
        <v>-4079194.4300000006</v>
      </c>
      <c r="D17" s="27">
        <f t="shared" si="4"/>
        <v>-5473534.7000000002</v>
      </c>
      <c r="E17" s="27">
        <f t="shared" si="4"/>
        <v>-7242815.25</v>
      </c>
      <c r="F17" s="27">
        <f t="shared" si="4"/>
        <v>-8232456.8599999994</v>
      </c>
      <c r="G17" s="27">
        <f t="shared" si="4"/>
        <v>-9912850.9000000004</v>
      </c>
      <c r="H17" s="27">
        <f t="shared" si="4"/>
        <v>-11161410.82</v>
      </c>
      <c r="I17" s="27">
        <f t="shared" si="4"/>
        <v>-12095195.68</v>
      </c>
      <c r="J17" s="27">
        <f t="shared" si="4"/>
        <v>-12701152.359999999</v>
      </c>
      <c r="K17" s="27">
        <f t="shared" si="4"/>
        <v>-13304921.279999999</v>
      </c>
      <c r="L17" s="27">
        <f t="shared" si="4"/>
        <v>-13006259.129999999</v>
      </c>
      <c r="M17" s="27">
        <f t="shared" si="4"/>
        <v>-12944690.98</v>
      </c>
      <c r="N17" s="27">
        <f t="shared" si="4"/>
        <v>-13768487.869999999</v>
      </c>
      <c r="O17" s="27">
        <f t="shared" si="4"/>
        <v>-13781941.049999999</v>
      </c>
      <c r="P17" s="27">
        <f t="shared" si="4"/>
        <v>-14516016.860000001</v>
      </c>
      <c r="Q17" s="27">
        <f t="shared" si="4"/>
        <v>-14585135.030000001</v>
      </c>
      <c r="R17" s="27">
        <f t="shared" si="4"/>
        <v>-15660590.9</v>
      </c>
      <c r="S17" s="27">
        <f t="shared" si="4"/>
        <v>-16045607.660000002</v>
      </c>
      <c r="T17" s="27">
        <f t="shared" si="4"/>
        <v>-16263439.439999996</v>
      </c>
      <c r="U17" s="27">
        <f t="shared" si="4"/>
        <v>-17081433.199999999</v>
      </c>
      <c r="V17" s="27">
        <f t="shared" si="4"/>
        <v>-17210513.129999999</v>
      </c>
      <c r="W17" s="27">
        <f t="shared" si="4"/>
        <v>-17243935.289999999</v>
      </c>
      <c r="X17" s="27">
        <f t="shared" si="4"/>
        <v>-16850895.039999999</v>
      </c>
      <c r="Y17" s="27">
        <f t="shared" si="4"/>
        <v>-16988746.879999999</v>
      </c>
      <c r="Z17" s="27">
        <f t="shared" si="4"/>
        <v>-17444414.560000002</v>
      </c>
      <c r="AA17" s="27">
        <f t="shared" si="4"/>
        <v>-18168668.009999998</v>
      </c>
      <c r="AB17" s="27">
        <f t="shared" si="4"/>
        <v>-18461455.489999998</v>
      </c>
      <c r="AC17" s="27">
        <f t="shared" si="4"/>
        <v>-18484397.719999999</v>
      </c>
      <c r="AD17" s="27">
        <f t="shared" si="4"/>
        <v>-18866305.09</v>
      </c>
      <c r="AE17" s="27">
        <f t="shared" si="4"/>
        <v>-19443281.419999998</v>
      </c>
      <c r="AF17" s="27">
        <f t="shared" si="4"/>
        <v>-19354485.879999999</v>
      </c>
      <c r="AG17" s="27">
        <f t="shared" si="4"/>
        <v>-20452350.710000001</v>
      </c>
      <c r="AH17" s="27">
        <f t="shared" si="4"/>
        <v>-20640461.52</v>
      </c>
      <c r="AI17" s="27">
        <f t="shared" si="4"/>
        <v>-20325941.290000003</v>
      </c>
      <c r="AJ17" s="27">
        <f t="shared" si="4"/>
        <v>-20007400.150000002</v>
      </c>
      <c r="AK17" s="27">
        <f t="shared" si="4"/>
        <v>-19877602.370000001</v>
      </c>
      <c r="AL17" s="27">
        <f t="shared" si="4"/>
        <v>-19908568.23</v>
      </c>
      <c r="AM17" s="27">
        <f t="shared" si="4"/>
        <v>-20375730.640000001</v>
      </c>
      <c r="AN17" s="27">
        <f t="shared" si="4"/>
        <v>-19826950.57</v>
      </c>
      <c r="AO17" s="27">
        <f t="shared" si="4"/>
        <v>-19171715.449999999</v>
      </c>
      <c r="AP17" s="27">
        <f t="shared" si="4"/>
        <v>-17363096.090000004</v>
      </c>
      <c r="AQ17" s="27">
        <f t="shared" si="4"/>
        <v>-17752211.950000007</v>
      </c>
      <c r="AR17" s="27">
        <f t="shared" si="4"/>
        <v>-3959543.3315760014</v>
      </c>
      <c r="AS17" s="27">
        <f t="shared" si="4"/>
        <v>-3991219.6782286093</v>
      </c>
      <c r="AT17" s="27">
        <f t="shared" si="4"/>
        <v>-4023149.435654439</v>
      </c>
      <c r="AU17" s="27">
        <f t="shared" si="4"/>
        <v>-4055334.6311396742</v>
      </c>
      <c r="AV17" s="27">
        <f t="shared" si="4"/>
        <v>-4087777.3081887923</v>
      </c>
      <c r="AW17" s="27">
        <f t="shared" si="4"/>
        <v>-4120479.5266543026</v>
      </c>
      <c r="AX17" s="27">
        <f t="shared" si="4"/>
        <v>-4153443.3628675379</v>
      </c>
      <c r="AY17" s="27">
        <f t="shared" si="4"/>
        <v>-4186670.9097704776</v>
      </c>
      <c r="AZ17" s="27">
        <f t="shared" si="4"/>
        <v>-4220164.2770486418</v>
      </c>
      <c r="BA17" s="27">
        <f t="shared" si="4"/>
        <v>-4253925.5912650311</v>
      </c>
      <c r="BB17" s="27">
        <f t="shared" si="4"/>
        <v>-4287956.9959951509</v>
      </c>
      <c r="BC17" s="27">
        <f t="shared" si="4"/>
        <v>-4322260.6519631129</v>
      </c>
      <c r="BD17" s="27">
        <f t="shared" si="4"/>
        <v>-4356838.7371788174</v>
      </c>
      <c r="BE17" s="27">
        <f t="shared" si="4"/>
        <v>-4391693.447076248</v>
      </c>
      <c r="BF17" s="27">
        <f t="shared" si="4"/>
        <v>-4426826.994652858</v>
      </c>
      <c r="BG17" s="27">
        <f t="shared" si="4"/>
        <v>-4462241.6106100809</v>
      </c>
      <c r="BH17" s="27">
        <f t="shared" si="4"/>
        <v>-4497939.5434949612</v>
      </c>
      <c r="BI17" s="27">
        <f t="shared" si="4"/>
        <v>-4533923.0598429209</v>
      </c>
      <c r="BJ17" s="27">
        <f t="shared" si="4"/>
        <v>-4570194.444321665</v>
      </c>
      <c r="BK17" s="27">
        <f t="shared" si="4"/>
        <v>-4606755.9998762384</v>
      </c>
      <c r="BL17" s="27">
        <f t="shared" si="4"/>
        <v>-4643610.0478752479</v>
      </c>
      <c r="BM17" s="27">
        <f t="shared" si="4"/>
        <v>-4680758.9282582505</v>
      </c>
      <c r="BN17" s="27">
        <f t="shared" si="4"/>
        <v>-4718204.9996843161</v>
      </c>
      <c r="BO17" s="27">
        <f t="shared" ref="BO17:CF17" si="5">BO10-BO13-BO14</f>
        <v>-4755950.63968179</v>
      </c>
      <c r="BP17" s="27">
        <f t="shared" si="5"/>
        <v>-4793998.2447992451</v>
      </c>
      <c r="BQ17" s="27">
        <f t="shared" si="5"/>
        <v>-4832350.2307576388</v>
      </c>
      <c r="BR17" s="27">
        <f t="shared" si="5"/>
        <v>-4871009.0326036997</v>
      </c>
      <c r="BS17" s="27">
        <f t="shared" si="5"/>
        <v>-4909977.1048645293</v>
      </c>
      <c r="BT17" s="27">
        <f t="shared" si="5"/>
        <v>-4949256.9217034467</v>
      </c>
      <c r="BU17" s="27">
        <f t="shared" si="5"/>
        <v>-4988850.9770770734</v>
      </c>
      <c r="BV17" s="27">
        <f t="shared" si="5"/>
        <v>-5028761.7848936906</v>
      </c>
      <c r="BW17" s="27">
        <f t="shared" si="5"/>
        <v>-5068991.8791728402</v>
      </c>
      <c r="BX17" s="27">
        <f t="shared" si="5"/>
        <v>-5109543.8142062239</v>
      </c>
      <c r="BY17" s="27">
        <f t="shared" si="5"/>
        <v>-5150420.1647198722</v>
      </c>
      <c r="BZ17" s="27">
        <f t="shared" si="5"/>
        <v>-5191623.5260376316</v>
      </c>
      <c r="CA17" s="27">
        <f t="shared" si="5"/>
        <v>-5233156.5142459329</v>
      </c>
      <c r="CB17" s="27">
        <f t="shared" si="5"/>
        <v>-5275021.7663599011</v>
      </c>
      <c r="CC17" s="27">
        <f t="shared" si="5"/>
        <v>-5317221.9404907795</v>
      </c>
      <c r="CD17" s="27">
        <f t="shared" si="5"/>
        <v>-5359759.7160147056</v>
      </c>
      <c r="CE17" s="27">
        <f t="shared" si="5"/>
        <v>-5402637.7937428234</v>
      </c>
      <c r="CF17" s="27">
        <f t="shared" si="5"/>
        <v>-5445858.8960927669</v>
      </c>
      <c r="CG17" s="27">
        <f t="shared" ref="CG17" si="6">CG10-CG13-CG14</f>
        <v>-5489425.7672615089</v>
      </c>
    </row>
    <row r="18" spans="1:85" x14ac:dyDescent="0.3">
      <c r="A18" s="96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</row>
    <row r="19" spans="1:85" x14ac:dyDescent="0.3">
      <c r="A19" s="23" t="s">
        <v>261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5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</row>
    <row r="20" spans="1:85" x14ac:dyDescent="0.3">
      <c r="A20" s="26" t="s">
        <v>262</v>
      </c>
      <c r="B20" s="27">
        <f>_xlfn.XLOOKUP("Opening Cash Balance",tbl_assumptions[Driver],tbl_assumptions[Selected Scenario])/'02_Control'!$B$18</f>
        <v>10000000</v>
      </c>
      <c r="C20" s="27">
        <f>B26</f>
        <v>9127080.8699999973</v>
      </c>
      <c r="D20" s="27">
        <f t="shared" ref="D20:BO20" si="7">C26</f>
        <v>7563454.3799999952</v>
      </c>
      <c r="E20" s="27">
        <f t="shared" si="7"/>
        <v>5121606.4199999943</v>
      </c>
      <c r="F20" s="27">
        <f t="shared" si="7"/>
        <v>3419984.0599999926</v>
      </c>
      <c r="G20" s="27">
        <f t="shared" si="7"/>
        <v>849127.74999999208</v>
      </c>
      <c r="H20" s="27">
        <f t="shared" si="7"/>
        <v>-642524.07000001147</v>
      </c>
      <c r="I20" s="27">
        <f t="shared" si="7"/>
        <v>-2675538.3600000152</v>
      </c>
      <c r="J20" s="27">
        <f t="shared" si="7"/>
        <v>-4370086.5800000159</v>
      </c>
      <c r="K20" s="27">
        <f t="shared" si="7"/>
        <v>-6373760.9600000158</v>
      </c>
      <c r="L20" s="27">
        <f t="shared" si="7"/>
        <v>-8101750.2900000131</v>
      </c>
      <c r="M20" s="27">
        <f t="shared" si="7"/>
        <v>-10783570.260000011</v>
      </c>
      <c r="N20" s="27">
        <f t="shared" si="7"/>
        <v>-12902995.510000013</v>
      </c>
      <c r="O20" s="27">
        <f t="shared" si="7"/>
        <v>-14072931.970000017</v>
      </c>
      <c r="P20" s="27">
        <f t="shared" si="7"/>
        <v>-16105875.410000019</v>
      </c>
      <c r="Q20" s="27">
        <f t="shared" si="7"/>
        <v>-18114976.450000018</v>
      </c>
      <c r="R20" s="27">
        <f t="shared" si="7"/>
        <v>-20297044.21000002</v>
      </c>
      <c r="S20" s="27">
        <f t="shared" si="7"/>
        <v>-21517117.410000026</v>
      </c>
      <c r="T20" s="27">
        <f t="shared" si="7"/>
        <v>-23064045.250000026</v>
      </c>
      <c r="U20" s="27">
        <f t="shared" si="7"/>
        <v>-25244279.700000025</v>
      </c>
      <c r="V20" s="27">
        <f t="shared" si="7"/>
        <v>-26292754.130000025</v>
      </c>
      <c r="W20" s="27">
        <f t="shared" si="7"/>
        <v>-28433235.970000025</v>
      </c>
      <c r="X20" s="27">
        <f t="shared" si="7"/>
        <v>-30668933.260000024</v>
      </c>
      <c r="Y20" s="27">
        <f t="shared" si="7"/>
        <v>-33611854.740000024</v>
      </c>
      <c r="Z20" s="27">
        <f t="shared" si="7"/>
        <v>-35484382.360000029</v>
      </c>
      <c r="AA20" s="27">
        <f t="shared" si="7"/>
        <v>-37275346.360000029</v>
      </c>
      <c r="AB20" s="27">
        <f t="shared" si="7"/>
        <v>-39082200.150000036</v>
      </c>
      <c r="AC20" s="27">
        <f t="shared" si="7"/>
        <v>-41025742.930000037</v>
      </c>
      <c r="AD20" s="27">
        <f t="shared" si="7"/>
        <v>-43135908.990000047</v>
      </c>
      <c r="AE20" s="27">
        <f t="shared" si="7"/>
        <v>-45004004.590000048</v>
      </c>
      <c r="AF20" s="27">
        <f t="shared" si="7"/>
        <v>-47013896.660000049</v>
      </c>
      <c r="AG20" s="27">
        <f t="shared" si="7"/>
        <v>-49608165.960000046</v>
      </c>
      <c r="AH20" s="27">
        <f t="shared" si="7"/>
        <v>-50976379.800000049</v>
      </c>
      <c r="AI20" s="27">
        <f t="shared" si="7"/>
        <v>-53574735.740000054</v>
      </c>
      <c r="AJ20" s="27">
        <f t="shared" si="7"/>
        <v>-56765554.340000056</v>
      </c>
      <c r="AK20" s="27">
        <f t="shared" si="7"/>
        <v>-60320623.080000058</v>
      </c>
      <c r="AL20" s="27">
        <f t="shared" si="7"/>
        <v>-62905551.120000057</v>
      </c>
      <c r="AM20" s="27">
        <f t="shared" si="7"/>
        <v>-65651456.140000068</v>
      </c>
      <c r="AN20" s="27">
        <f t="shared" si="7"/>
        <v>-68566291.310000077</v>
      </c>
      <c r="AO20" s="27">
        <f t="shared" si="7"/>
        <v>-71975267.550000072</v>
      </c>
      <c r="AP20" s="27">
        <f t="shared" si="7"/>
        <v>-76104025.710000068</v>
      </c>
      <c r="AQ20" s="27">
        <f t="shared" si="7"/>
        <v>-81832935.700000063</v>
      </c>
      <c r="AR20" s="27">
        <f t="shared" si="7"/>
        <v>-89224362.570000067</v>
      </c>
      <c r="AS20" s="27">
        <f t="shared" si="7"/>
        <v>-92040100.451811269</v>
      </c>
      <c r="AT20" s="27">
        <f t="shared" si="7"/>
        <v>-94893828.934860557</v>
      </c>
      <c r="AU20" s="27">
        <f t="shared" si="7"/>
        <v>-97786006.590939671</v>
      </c>
      <c r="AV20" s="27">
        <f t="shared" si="7"/>
        <v>-100717097.20688452</v>
      </c>
      <c r="AW20" s="27">
        <f t="shared" si="7"/>
        <v>-103687569.84176017</v>
      </c>
      <c r="AX20" s="27">
        <f t="shared" si="7"/>
        <v>-106697898.88465813</v>
      </c>
      <c r="AY20" s="27">
        <f t="shared" si="7"/>
        <v>-109748564.113112</v>
      </c>
      <c r="AZ20" s="27">
        <f t="shared" si="7"/>
        <v>-112840050.75213836</v>
      </c>
      <c r="BA20" s="27">
        <f t="shared" si="7"/>
        <v>-115972849.53390923</v>
      </c>
      <c r="BB20" s="27">
        <f t="shared" si="7"/>
        <v>-119147456.7580629</v>
      </c>
      <c r="BC20" s="27">
        <f t="shared" si="7"/>
        <v>-122364374.3526597</v>
      </c>
      <c r="BD20" s="27">
        <f t="shared" si="7"/>
        <v>-125624109.93578969</v>
      </c>
      <c r="BE20" s="27">
        <f t="shared" si="7"/>
        <v>-128927176.87783889</v>
      </c>
      <c r="BF20" s="27">
        <f t="shared" si="7"/>
        <v>-132274094.36442122</v>
      </c>
      <c r="BG20" s="27">
        <f t="shared" si="7"/>
        <v>-135665387.45998287</v>
      </c>
      <c r="BH20" s="27">
        <f t="shared" si="7"/>
        <v>-139101587.17208657</v>
      </c>
      <c r="BI20" s="27">
        <f t="shared" si="7"/>
        <v>-142583230.51638243</v>
      </c>
      <c r="BJ20" s="27">
        <f t="shared" si="7"/>
        <v>-146110860.58227292</v>
      </c>
      <c r="BK20" s="27">
        <f t="shared" si="7"/>
        <v>-149685026.59927922</v>
      </c>
      <c r="BL20" s="27">
        <f t="shared" si="7"/>
        <v>-153306284.00411615</v>
      </c>
      <c r="BM20" s="27">
        <f t="shared" si="7"/>
        <v>-156975194.50848329</v>
      </c>
      <c r="BN20" s="27">
        <f t="shared" si="7"/>
        <v>-160692326.1675798</v>
      </c>
      <c r="BO20" s="27">
        <f t="shared" si="7"/>
        <v>-164458253.44935045</v>
      </c>
      <c r="BP20" s="27">
        <f t="shared" ref="BP20:CG20" si="8">BO26</f>
        <v>-168273557.30447066</v>
      </c>
      <c r="BQ20" s="27">
        <f t="shared" si="8"/>
        <v>-172138825.23707816</v>
      </c>
      <c r="BR20" s="27">
        <f t="shared" si="8"/>
        <v>-176054651.37625933</v>
      </c>
      <c r="BS20" s="27">
        <f t="shared" si="8"/>
        <v>-180021636.54829788</v>
      </c>
      <c r="BT20" s="27">
        <f t="shared" si="8"/>
        <v>-184040388.34969413</v>
      </c>
      <c r="BU20" s="27">
        <f t="shared" si="8"/>
        <v>-188111521.22096273</v>
      </c>
      <c r="BV20" s="27">
        <f t="shared" si="8"/>
        <v>-192235656.52121729</v>
      </c>
      <c r="BW20" s="27">
        <f t="shared" si="8"/>
        <v>-196413422.60354984</v>
      </c>
      <c r="BX20" s="27">
        <f t="shared" si="8"/>
        <v>-200645454.89121374</v>
      </c>
      <c r="BY20" s="27">
        <f t="shared" si="8"/>
        <v>-204932395.95461842</v>
      </c>
      <c r="BZ20" s="27">
        <f t="shared" si="8"/>
        <v>-209274895.58914417</v>
      </c>
      <c r="CA20" s="27">
        <f t="shared" si="8"/>
        <v>-213673610.8937861</v>
      </c>
      <c r="CB20" s="27">
        <f t="shared" si="8"/>
        <v>-218129206.35063553</v>
      </c>
      <c r="CC20" s="27">
        <f t="shared" si="8"/>
        <v>-222642353.90520784</v>
      </c>
      <c r="CD20" s="27">
        <f t="shared" si="8"/>
        <v>-227213733.04762548</v>
      </c>
      <c r="CE20" s="27">
        <f t="shared" si="8"/>
        <v>-231844030.89466533</v>
      </c>
      <c r="CF20" s="27">
        <f t="shared" si="8"/>
        <v>-236533942.27267918</v>
      </c>
      <c r="CG20" s="27">
        <f t="shared" si="8"/>
        <v>-241284169.80139679</v>
      </c>
    </row>
    <row r="21" spans="1:85" x14ac:dyDescent="0.3">
      <c r="A21" s="26" t="s">
        <v>31</v>
      </c>
      <c r="B21" s="29">
        <f>'05_Monthly_Model'!B23</f>
        <v>-3465652.8600000008</v>
      </c>
      <c r="C21" s="29">
        <f>'05_Monthly_Model'!C23</f>
        <v>-3747605.9299999988</v>
      </c>
      <c r="D21" s="29">
        <f>'05_Monthly_Model'!D23</f>
        <v>-3450043.9399999995</v>
      </c>
      <c r="E21" s="29">
        <f>'05_Monthly_Model'!E23</f>
        <v>-3501321.5199999968</v>
      </c>
      <c r="F21" s="29">
        <f>'05_Monthly_Model'!F23</f>
        <v>-3075286.54</v>
      </c>
      <c r="G21" s="29">
        <f>'05_Monthly_Model'!G23</f>
        <v>-3029531.4700000007</v>
      </c>
      <c r="H21" s="29">
        <f>'05_Monthly_Model'!H23</f>
        <v>-2767881.0400000033</v>
      </c>
      <c r="I21" s="29">
        <f>'05_Monthly_Model'!I23</f>
        <v>-2802651.1299999994</v>
      </c>
      <c r="J21" s="29">
        <f>'05_Monthly_Model'!J23</f>
        <v>-2167925.2500000047</v>
      </c>
      <c r="K21" s="29">
        <f>'05_Monthly_Model'!K23</f>
        <v>-2206003.9499999993</v>
      </c>
      <c r="L21" s="29">
        <f>'05_Monthly_Model'!L23</f>
        <v>-2189523.4000000097</v>
      </c>
      <c r="M21" s="29">
        <f>'05_Monthly_Model'!M23</f>
        <v>-1753683.2499999912</v>
      </c>
      <c r="N21" s="29">
        <f>'05_Monthly_Model'!N23</f>
        <v>-1831760.7299999893</v>
      </c>
      <c r="O21" s="29">
        <f>'05_Monthly_Model'!O23</f>
        <v>-2151418.0699999789</v>
      </c>
      <c r="P21" s="29">
        <f>'05_Monthly_Model'!P23</f>
        <v>-1815737.3299999908</v>
      </c>
      <c r="Q21" s="29">
        <f>'05_Monthly_Model'!Q23</f>
        <v>-1630202.0700000152</v>
      </c>
      <c r="R21" s="29">
        <f>'05_Monthly_Model'!R23</f>
        <v>-1993262.7200000091</v>
      </c>
      <c r="S21" s="29">
        <f>'05_Monthly_Model'!S23</f>
        <v>-1852795.4200000102</v>
      </c>
      <c r="T21" s="29">
        <f>'05_Monthly_Model'!T23</f>
        <v>-1649489.3500000201</v>
      </c>
      <c r="U21" s="29">
        <f>'05_Monthly_Model'!U23</f>
        <v>-1756481.8000000268</v>
      </c>
      <c r="V21" s="29">
        <f>'05_Monthly_Model'!V23</f>
        <v>-2006333.5500000101</v>
      </c>
      <c r="W21" s="29">
        <f>'05_Monthly_Model'!W23</f>
        <v>-1800694.0500000222</v>
      </c>
      <c r="X21" s="29">
        <f>'05_Monthly_Model'!X23</f>
        <v>-2116163.0300000068</v>
      </c>
      <c r="Y21" s="29">
        <f>'05_Monthly_Model'!Y23</f>
        <v>-1978053.7600000352</v>
      </c>
      <c r="Z21" s="29">
        <f>'05_Monthly_Model'!Z23</f>
        <v>-1759414.0500000417</v>
      </c>
      <c r="AA21" s="29">
        <f>'05_Monthly_Model'!AA23</f>
        <v>-1998558.0199999986</v>
      </c>
      <c r="AB21" s="29">
        <f>'05_Monthly_Model'!AB23</f>
        <v>-1856025.6500000339</v>
      </c>
      <c r="AC21" s="29">
        <f>'05_Monthly_Model'!AC23</f>
        <v>-1874339.1300000129</v>
      </c>
      <c r="AD21" s="29">
        <f>'05_Monthly_Model'!AD23</f>
        <v>-1986320.49000003</v>
      </c>
      <c r="AE21" s="29">
        <f>'05_Monthly_Model'!AE23</f>
        <v>-2146968.1400000006</v>
      </c>
      <c r="AF21" s="29">
        <f>'05_Monthly_Model'!AF23</f>
        <v>-2405544.9800000172</v>
      </c>
      <c r="AG21" s="29">
        <f>'05_Monthly_Model'!AG23</f>
        <v>-1961719.690000033</v>
      </c>
      <c r="AH21" s="29">
        <f>'05_Monthly_Model'!AH23</f>
        <v>-2357697.4700000109</v>
      </c>
      <c r="AI21" s="29">
        <f>'05_Monthly_Model'!AI23</f>
        <v>-2353771.410000043</v>
      </c>
      <c r="AJ21" s="29">
        <f>'05_Monthly_Model'!AJ23</f>
        <v>-2277515.6000000127</v>
      </c>
      <c r="AK21" s="29">
        <f>'05_Monthly_Model'!AK23</f>
        <v>-2514515.5800000457</v>
      </c>
      <c r="AL21" s="29">
        <f>'05_Monthly_Model'!AL23</f>
        <v>-2379243.7700000443</v>
      </c>
      <c r="AM21" s="29">
        <f>'05_Monthly_Model'!AM23</f>
        <v>-2695165.9300000397</v>
      </c>
      <c r="AN21" s="29">
        <f>'05_Monthly_Model'!AN23</f>
        <v>-2371075.200000043</v>
      </c>
      <c r="AO21" s="29">
        <f>'05_Monthly_Model'!AO23</f>
        <v>-2572239.3100000117</v>
      </c>
      <c r="AP21" s="29">
        <f>'05_Monthly_Model'!AP23</f>
        <v>-2346572.9500000514</v>
      </c>
      <c r="AQ21" s="29">
        <f>'05_Monthly_Model'!AQ23</f>
        <v>-1936177.5700000059</v>
      </c>
      <c r="AR21" s="29">
        <f>'05_Monthly_Model'!AR23</f>
        <v>-1955383.7972000055</v>
      </c>
      <c r="AS21" s="29">
        <f>'05_Monthly_Model'!AS23</f>
        <v>-1974780.8422840051</v>
      </c>
      <c r="AT21" s="29">
        <f>'05_Monthly_Model'!AT23</f>
        <v>-1994370.6034757411</v>
      </c>
      <c r="AU21" s="29">
        <f>'05_Monthly_Model'!AU23</f>
        <v>-2014154.9979015458</v>
      </c>
      <c r="AV21" s="29">
        <f>'05_Monthly_Model'!AV23</f>
        <v>-2034135.9617787367</v>
      </c>
      <c r="AW21" s="29">
        <f>'05_Monthly_Model'!AW23</f>
        <v>-2054315.4506058851</v>
      </c>
      <c r="AX21" s="29">
        <f>'05_Monthly_Model'!AX23</f>
        <v>-2074695.4393549804</v>
      </c>
      <c r="AY21" s="29">
        <f>'05_Monthly_Model'!AY23</f>
        <v>-2095277.9226655103</v>
      </c>
      <c r="AZ21" s="29">
        <f>'05_Monthly_Model'!AZ23</f>
        <v>-2116064.9150404818</v>
      </c>
      <c r="BA21" s="29">
        <f>'05_Monthly_Model'!BA23</f>
        <v>-2137058.451044389</v>
      </c>
      <c r="BB21" s="29">
        <f>'05_Monthly_Model'!BB23</f>
        <v>-2158260.5855031637</v>
      </c>
      <c r="BC21" s="29">
        <f>'05_Monthly_Model'!BC23</f>
        <v>-2179673.3937061131</v>
      </c>
      <c r="BD21" s="29">
        <f>'05_Monthly_Model'!BD23</f>
        <v>-2201298.9716098746</v>
      </c>
      <c r="BE21" s="29">
        <f>'05_Monthly_Model'!BE23</f>
        <v>-2223139.4360444089</v>
      </c>
      <c r="BF21" s="29">
        <f>'05_Monthly_Model'!BF23</f>
        <v>-2245196.924921033</v>
      </c>
      <c r="BG21" s="29">
        <f>'05_Monthly_Model'!BG23</f>
        <v>-2267473.5974425543</v>
      </c>
      <c r="BH21" s="29">
        <f>'05_Monthly_Model'!BH23</f>
        <v>-2289971.6343154693</v>
      </c>
      <c r="BI21" s="29">
        <f>'05_Monthly_Model'!BI23</f>
        <v>-2312693.2379643014</v>
      </c>
      <c r="BJ21" s="29">
        <f>'05_Monthly_Model'!BJ23</f>
        <v>-2335640.6327480683</v>
      </c>
      <c r="BK21" s="29">
        <f>'05_Monthly_Model'!BK23</f>
        <v>-2358816.0651789038</v>
      </c>
      <c r="BL21" s="29">
        <f>'05_Monthly_Model'!BL23</f>
        <v>-2382221.8041428747</v>
      </c>
      <c r="BM21" s="29">
        <f>'05_Monthly_Model'!BM23</f>
        <v>-2405860.1411229828</v>
      </c>
      <c r="BN21" s="29">
        <f>'05_Monthly_Model'!BN23</f>
        <v>-2429733.3904244034</v>
      </c>
      <c r="BO21" s="29">
        <f>'05_Monthly_Model'!BO23</f>
        <v>-2453843.8894019583</v>
      </c>
      <c r="BP21" s="29">
        <f>'05_Monthly_Model'!BP23</f>
        <v>-2478193.9986898769</v>
      </c>
      <c r="BQ21" s="29">
        <f>'05_Monthly_Model'!BQ23</f>
        <v>-2502786.102433823</v>
      </c>
      <c r="BR21" s="29">
        <f>'05_Monthly_Model'!BR23</f>
        <v>-2527622.6085252659</v>
      </c>
      <c r="BS21" s="29">
        <f>'05_Monthly_Model'!BS23</f>
        <v>-2552705.9488381613</v>
      </c>
      <c r="BT21" s="29">
        <f>'05_Monthly_Model'!BT23</f>
        <v>-2578038.5794680053</v>
      </c>
      <c r="BU21" s="29">
        <f>'05_Monthly_Model'!BU23</f>
        <v>-2603622.98097328</v>
      </c>
      <c r="BV21" s="29">
        <f>'05_Monthly_Model'!BV23</f>
        <v>-2629461.658619293</v>
      </c>
      <c r="BW21" s="29">
        <f>'05_Monthly_Model'!BW23</f>
        <v>-2655557.1426244555</v>
      </c>
      <c r="BX21" s="29">
        <f>'05_Monthly_Model'!BX23</f>
        <v>-2681911.9884090228</v>
      </c>
      <c r="BY21" s="29">
        <f>'05_Monthly_Model'!BY23</f>
        <v>-2708528.7768462989</v>
      </c>
      <c r="BZ21" s="29">
        <f>'05_Monthly_Model'!BZ23</f>
        <v>-2735410.1145163765</v>
      </c>
      <c r="CA21" s="29">
        <f>'05_Monthly_Model'!CA23</f>
        <v>-2762558.6339623667</v>
      </c>
      <c r="CB21" s="29">
        <f>'05_Monthly_Model'!CB23</f>
        <v>-2789976.9939492233</v>
      </c>
      <c r="CC21" s="29">
        <f>'05_Monthly_Model'!CC23</f>
        <v>-2817667.8797251284</v>
      </c>
      <c r="CD21" s="29">
        <f>'05_Monthly_Model'!CD23</f>
        <v>-2845634.0032854807</v>
      </c>
      <c r="CE21" s="29">
        <f>'05_Monthly_Model'!CE23</f>
        <v>-2873878.1036395431</v>
      </c>
      <c r="CF21" s="29">
        <f>'05_Monthly_Model'!CF23</f>
        <v>-2902402.9470797144</v>
      </c>
      <c r="CG21" s="29">
        <f>'05_Monthly_Model'!CG23</f>
        <v>-2931211.3274535201</v>
      </c>
    </row>
    <row r="22" spans="1:85" x14ac:dyDescent="0.3">
      <c r="A22" s="26" t="s">
        <v>2</v>
      </c>
      <c r="B22" s="27">
        <f>'05_Monthly_Model'!B30</f>
        <v>3771182.2599999988</v>
      </c>
      <c r="C22" s="27">
        <f>'05_Monthly_Model'!C30</f>
        <v>3312454.6799999969</v>
      </c>
      <c r="D22" s="27">
        <f>'05_Monthly_Model'!D30</f>
        <v>3172057.87</v>
      </c>
      <c r="E22" s="27">
        <f>'05_Monthly_Model'!E30</f>
        <v>3613516.5499999993</v>
      </c>
      <c r="F22" s="27">
        <f>'05_Monthly_Model'!F30</f>
        <v>3000694.0399999996</v>
      </c>
      <c r="G22" s="27">
        <f>'05_Monthly_Model'!G30</f>
        <v>3983097.2499999967</v>
      </c>
      <c r="H22" s="27">
        <f>'05_Monthly_Model'!H30</f>
        <v>3687227.4399999976</v>
      </c>
      <c r="I22" s="27">
        <f>'05_Monthly_Model'!I30</f>
        <v>4042353.8199999994</v>
      </c>
      <c r="J22" s="27">
        <f>'05_Monthly_Model'!J30</f>
        <v>3796047.9</v>
      </c>
      <c r="K22" s="27">
        <f>'05_Monthly_Model'!K30</f>
        <v>3921672.5900000022</v>
      </c>
      <c r="L22" s="27">
        <f>'05_Monthly_Model'!L30</f>
        <v>3229596.2600000021</v>
      </c>
      <c r="M22" s="27">
        <f>'05_Monthly_Model'!M30</f>
        <v>3925204.3599999971</v>
      </c>
      <c r="N22" s="27">
        <f>'05_Monthly_Model'!N30</f>
        <v>4681784.9899999946</v>
      </c>
      <c r="O22" s="27">
        <f>'05_Monthly_Model'!O30</f>
        <v>3839587.2999999984</v>
      </c>
      <c r="P22" s="27">
        <f>'05_Monthly_Model'!P30</f>
        <v>4200103.42</v>
      </c>
      <c r="Q22" s="27">
        <f>'05_Monthly_Model'!Q30</f>
        <v>4088023.129999999</v>
      </c>
      <c r="R22" s="27">
        <f>'05_Monthly_Model'!R30</f>
        <v>4983319.6099999947</v>
      </c>
      <c r="S22" s="27">
        <f>'05_Monthly_Model'!S30</f>
        <v>4880432.2100000009</v>
      </c>
      <c r="T22" s="27">
        <f>'05_Monthly_Model'!T30</f>
        <v>4303373.3800000018</v>
      </c>
      <c r="U22" s="27">
        <f>'05_Monthly_Model'!U30</f>
        <v>5408493.8299999991</v>
      </c>
      <c r="V22" s="27">
        <f>'05_Monthly_Model'!V30</f>
        <v>4555805.32</v>
      </c>
      <c r="W22" s="27">
        <f>'05_Monthly_Model'!W30</f>
        <v>4667284.0000000009</v>
      </c>
      <c r="X22" s="27">
        <f>'05_Monthly_Model'!X30</f>
        <v>3929969.4799999981</v>
      </c>
      <c r="Y22" s="27">
        <f>'05_Monthly_Model'!Y30</f>
        <v>5101061.6299999971</v>
      </c>
      <c r="Z22" s="27">
        <f>'05_Monthly_Model'!Z30</f>
        <v>5529052.0900000008</v>
      </c>
      <c r="AA22" s="27">
        <f>'05_Monthly_Model'!AA30</f>
        <v>5119368.9099999927</v>
      </c>
      <c r="AB22" s="27">
        <f>'05_Monthly_Model'!AB30</f>
        <v>5263376.5699999994</v>
      </c>
      <c r="AC22" s="27">
        <f>'05_Monthly_Model'!AC30</f>
        <v>5052000.1999999927</v>
      </c>
      <c r="AD22" s="27">
        <f>'05_Monthly_Model'!AD30</f>
        <v>5485161.5000000028</v>
      </c>
      <c r="AE22" s="27">
        <f>'05_Monthly_Model'!AE30</f>
        <v>5508029.8399999989</v>
      </c>
      <c r="AF22" s="27">
        <f>'05_Monthly_Model'!AF30</f>
        <v>5258659.3199999994</v>
      </c>
      <c r="AG22" s="27">
        <f>'05_Monthly_Model'!AG30</f>
        <v>6245825.6599999983</v>
      </c>
      <c r="AH22" s="27">
        <f>'05_Monthly_Model'!AH30</f>
        <v>5179603.6499999966</v>
      </c>
      <c r="AI22" s="27">
        <f>'05_Monthly_Model'!AI30</f>
        <v>5036442.4399999976</v>
      </c>
      <c r="AJ22" s="27">
        <f>'05_Monthly_Model'!AJ30</f>
        <v>4337243.0599999996</v>
      </c>
      <c r="AK22" s="27">
        <f>'05_Monthly_Model'!AK30</f>
        <v>5471059.5099999979</v>
      </c>
      <c r="AL22" s="27">
        <f>'05_Monthly_Model'!AL30</f>
        <v>5653312.2899999926</v>
      </c>
      <c r="AM22" s="27">
        <f>'05_Monthly_Model'!AM30</f>
        <v>5232322.9899999965</v>
      </c>
      <c r="AN22" s="27">
        <f>'05_Monthly_Model'!AN30</f>
        <v>4878939.1899999995</v>
      </c>
      <c r="AO22" s="27">
        <f>'05_Monthly_Model'!AO30</f>
        <v>4159533.7100000014</v>
      </c>
      <c r="AP22" s="27">
        <f>'05_Monthly_Model'!AP30</f>
        <v>2612086.1400000006</v>
      </c>
      <c r="AQ22" s="27">
        <f>'05_Monthly_Model'!AQ30</f>
        <v>339676.06</v>
      </c>
      <c r="AR22" s="27">
        <f>'05_Monthly_Model'!AR30</f>
        <v>4983248.1873888019</v>
      </c>
      <c r="AS22" s="27">
        <f>'05_Monthly_Model'!AS30</f>
        <v>5023114.172887912</v>
      </c>
      <c r="AT22" s="27">
        <f>'05_Monthly_Model'!AT30</f>
        <v>5063299.0862710159</v>
      </c>
      <c r="AU22" s="27">
        <f>'05_Monthly_Model'!AU30</f>
        <v>5103805.4789611837</v>
      </c>
      <c r="AV22" s="27">
        <f>'05_Monthly_Model'!AV30</f>
        <v>5144635.9227928733</v>
      </c>
      <c r="AW22" s="27">
        <f>'05_Monthly_Model'!AW30</f>
        <v>5185793.0101752169</v>
      </c>
      <c r="AX22" s="27">
        <f>'05_Monthly_Model'!AX30</f>
        <v>5227279.3542566188</v>
      </c>
      <c r="AY22" s="27">
        <f>'05_Monthly_Model'!AY30</f>
        <v>5269097.5890906714</v>
      </c>
      <c r="AZ22" s="27">
        <f>'05_Monthly_Model'!AZ30</f>
        <v>5311250.369803397</v>
      </c>
      <c r="BA22" s="27">
        <f>'05_Monthly_Model'!BA30</f>
        <v>5353740.3727618242</v>
      </c>
      <c r="BB22" s="27">
        <f>'05_Monthly_Model'!BB30</f>
        <v>5396570.295743919</v>
      </c>
      <c r="BC22" s="27">
        <f>'05_Monthly_Model'!BC30</f>
        <v>5439742.85810987</v>
      </c>
      <c r="BD22" s="27">
        <f>'05_Monthly_Model'!BD30</f>
        <v>5483260.800974749</v>
      </c>
      <c r="BE22" s="27">
        <f>'05_Monthly_Model'!BE30</f>
        <v>5527126.8873825474</v>
      </c>
      <c r="BF22" s="27">
        <f>'05_Monthly_Model'!BF30</f>
        <v>5571343.9024816081</v>
      </c>
      <c r="BG22" s="27">
        <f>'05_Monthly_Model'!BG30</f>
        <v>5615914.6537014609</v>
      </c>
      <c r="BH22" s="27">
        <f>'05_Monthly_Model'!BH30</f>
        <v>5660841.9709310727</v>
      </c>
      <c r="BI22" s="27">
        <f>'05_Monthly_Model'!BI30</f>
        <v>5706128.706698521</v>
      </c>
      <c r="BJ22" s="27">
        <f>'05_Monthly_Model'!BJ30</f>
        <v>5751777.7363521094</v>
      </c>
      <c r="BK22" s="27">
        <f>'05_Monthly_Model'!BK30</f>
        <v>5797791.9582429267</v>
      </c>
      <c r="BL22" s="27">
        <f>'05_Monthly_Model'!BL30</f>
        <v>5844174.2939088698</v>
      </c>
      <c r="BM22" s="27">
        <f>'05_Monthly_Model'!BM30</f>
        <v>5890927.6882601408</v>
      </c>
      <c r="BN22" s="27">
        <f>'05_Monthly_Model'!BN30</f>
        <v>5938055.1097662225</v>
      </c>
      <c r="BO22" s="27">
        <f>'05_Monthly_Model'!BO30</f>
        <v>5985559.5506443521</v>
      </c>
      <c r="BP22" s="27">
        <f>'05_Monthly_Model'!BP30</f>
        <v>6033444.027049507</v>
      </c>
      <c r="BQ22" s="27">
        <f>'05_Monthly_Model'!BQ30</f>
        <v>6081711.5792659028</v>
      </c>
      <c r="BR22" s="27">
        <f>'05_Monthly_Model'!BR30</f>
        <v>6130365.2719000308</v>
      </c>
      <c r="BS22" s="27">
        <f>'05_Monthly_Model'!BS30</f>
        <v>6179408.1940752314</v>
      </c>
      <c r="BT22" s="27">
        <f>'05_Monthly_Model'!BT30</f>
        <v>6228843.4596278332</v>
      </c>
      <c r="BU22" s="27">
        <f>'05_Monthly_Model'!BU30</f>
        <v>6278674.2073048558</v>
      </c>
      <c r="BV22" s="27">
        <f>'05_Monthly_Model'!BV30</f>
        <v>6328903.6009632945</v>
      </c>
      <c r="BW22" s="27">
        <f>'05_Monthly_Model'!BW30</f>
        <v>6379534.8297710009</v>
      </c>
      <c r="BX22" s="27">
        <f>'05_Monthly_Model'!BX30</f>
        <v>6430571.1084091691</v>
      </c>
      <c r="BY22" s="27">
        <f>'05_Monthly_Model'!BY30</f>
        <v>6482015.6772764428</v>
      </c>
      <c r="BZ22" s="27">
        <f>'05_Monthly_Model'!BZ30</f>
        <v>6533871.802694655</v>
      </c>
      <c r="CA22" s="27">
        <f>'05_Monthly_Model'!CA30</f>
        <v>6586142.7771162121</v>
      </c>
      <c r="CB22" s="27">
        <f>'05_Monthly_Model'!CB30</f>
        <v>6638831.9193331413</v>
      </c>
      <c r="CC22" s="27">
        <f>'05_Monthly_Model'!CC30</f>
        <v>6691942.5746878069</v>
      </c>
      <c r="CD22" s="27">
        <f>'05_Monthly_Model'!CD30</f>
        <v>6745478.115285309</v>
      </c>
      <c r="CE22" s="27">
        <f>'05_Monthly_Model'!CE30</f>
        <v>6799441.9402075913</v>
      </c>
      <c r="CF22" s="27">
        <f>'05_Monthly_Model'!CF30</f>
        <v>6853837.4757292522</v>
      </c>
      <c r="CG22" s="27">
        <f>'05_Monthly_Model'!CG30</f>
        <v>6908668.1755350865</v>
      </c>
    </row>
    <row r="23" spans="1:85" x14ac:dyDescent="0.3">
      <c r="A23" s="26" t="s">
        <v>141</v>
      </c>
      <c r="B23" s="29">
        <f>'05_Monthly_Model'!B34</f>
        <v>2972.29</v>
      </c>
      <c r="C23" s="29">
        <f>'05_Monthly_Model'!C34</f>
        <v>144978.51999999999</v>
      </c>
      <c r="D23" s="29">
        <f>'05_Monthly_Model'!D34</f>
        <v>806474.41</v>
      </c>
      <c r="E23" s="29">
        <f>'05_Monthly_Model'!E34</f>
        <v>446431.70000000007</v>
      </c>
      <c r="F23" s="29">
        <f>'05_Monthly_Model'!F34</f>
        <v>642419.7699999999</v>
      </c>
      <c r="G23" s="29">
        <f>'05_Monthly_Model'!G34</f>
        <v>500315.7</v>
      </c>
      <c r="H23" s="29">
        <f>'05_Monthly_Model'!H34</f>
        <v>641704.78000000014</v>
      </c>
      <c r="I23" s="29">
        <f>'05_Monthly_Model'!I34</f>
        <v>635031.86999999988</v>
      </c>
      <c r="J23" s="29">
        <f>'05_Monthly_Model'!J34</f>
        <v>619227.96999999986</v>
      </c>
      <c r="K23" s="29">
        <f>'05_Monthly_Model'!K34</f>
        <v>397281.73999999993</v>
      </c>
      <c r="L23" s="29">
        <f>'05_Monthly_Model'!L34</f>
        <v>544597.97999999986</v>
      </c>
      <c r="M23" s="29">
        <f>'05_Monthly_Model'!M34</f>
        <v>654590.80999999994</v>
      </c>
      <c r="N23" s="29">
        <f>'05_Monthly_Model'!N34</f>
        <v>409944.6</v>
      </c>
      <c r="O23" s="29">
        <f>'05_Monthly_Model'!O34</f>
        <v>323431.84000000003</v>
      </c>
      <c r="P23" s="29">
        <f>'05_Monthly_Model'!P34</f>
        <v>625252.68000000005</v>
      </c>
      <c r="Q23" s="29">
        <f>'05_Monthly_Model'!Q34</f>
        <v>618522.24</v>
      </c>
      <c r="R23" s="29">
        <f>'05_Monthly_Model'!R34</f>
        <v>396039.98999999993</v>
      </c>
      <c r="S23" s="29">
        <f>'05_Monthly_Model'!S34</f>
        <v>523242.62</v>
      </c>
      <c r="T23" s="29">
        <f>'05_Monthly_Model'!T34</f>
        <v>531440.17000000004</v>
      </c>
      <c r="U23" s="29">
        <f>'05_Monthly_Model'!U34</f>
        <v>363636.43</v>
      </c>
      <c r="V23" s="29">
        <f>'05_Monthly_Model'!V34</f>
        <v>433237.94000000006</v>
      </c>
      <c r="W23" s="29">
        <f>'05_Monthly_Model'!W34</f>
        <v>572155.3600000001</v>
      </c>
      <c r="X23" s="29">
        <f>'05_Monthly_Model'!X34</f>
        <v>489690.52999999997</v>
      </c>
      <c r="Y23" s="29">
        <f>'05_Monthly_Model'!Y34</f>
        <v>502100.68</v>
      </c>
      <c r="Z23" s="29">
        <f>'05_Monthly_Model'!Z34</f>
        <v>776723.52</v>
      </c>
      <c r="AA23" s="29">
        <f>'05_Monthly_Model'!AA34</f>
        <v>370720.92999999993</v>
      </c>
      <c r="AB23" s="29">
        <f>'05_Monthly_Model'!AB34</f>
        <v>576205.5299999998</v>
      </c>
      <c r="AC23" s="29">
        <f>'05_Monthly_Model'!AC34</f>
        <v>454771.6999999999</v>
      </c>
      <c r="AD23" s="29">
        <f>'05_Monthly_Model'!AD34</f>
        <v>506104.71</v>
      </c>
      <c r="AE23" s="29">
        <f>'05_Monthly_Model'!AE34</f>
        <v>533035.49</v>
      </c>
      <c r="AF23" s="29">
        <f>'05_Monthly_Model'!AF34</f>
        <v>772095.82000000007</v>
      </c>
      <c r="AG23" s="29">
        <f>'05_Monthly_Model'!AG34</f>
        <v>440051.35000000003</v>
      </c>
      <c r="AH23" s="29">
        <f>'05_Monthly_Model'!AH34</f>
        <v>494285.4</v>
      </c>
      <c r="AI23" s="29">
        <f>'05_Monthly_Model'!AI34</f>
        <v>873193.50000000012</v>
      </c>
      <c r="AJ23" s="29">
        <f>'05_Monthly_Model'!AJ34</f>
        <v>434388.63</v>
      </c>
      <c r="AK23" s="29">
        <f>'05_Monthly_Model'!AK34</f>
        <v>522809.90999999992</v>
      </c>
      <c r="AL23" s="29">
        <f>'05_Monthly_Model'!AL34</f>
        <v>782430.04999999981</v>
      </c>
      <c r="AM23" s="29">
        <f>'05_Monthly_Model'!AM34</f>
        <v>531375.06999999995</v>
      </c>
      <c r="AN23" s="29">
        <f>'05_Monthly_Model'!AN34</f>
        <v>688785.7899999998</v>
      </c>
      <c r="AO23" s="29">
        <f>'05_Monthly_Model'!AO34</f>
        <v>670024.62999999989</v>
      </c>
      <c r="AP23" s="29">
        <f>'05_Monthly_Model'!AP34</f>
        <v>719013.4</v>
      </c>
      <c r="AQ23" s="29">
        <f>'05_Monthly_Model'!AQ34</f>
        <v>75311.75</v>
      </c>
      <c r="AR23" s="29">
        <f>'05_Monthly_Model'!AR34</f>
        <v>66636.977400000003</v>
      </c>
      <c r="AS23" s="29">
        <f>'05_Monthly_Model'!AS34</f>
        <v>67170.0732192</v>
      </c>
      <c r="AT23" s="29">
        <f>'05_Monthly_Model'!AT34</f>
        <v>67707.433804953602</v>
      </c>
      <c r="AU23" s="29">
        <f>'05_Monthly_Model'!AU34</f>
        <v>68249.093275393228</v>
      </c>
      <c r="AV23" s="29">
        <f>'05_Monthly_Model'!AV34</f>
        <v>68795.086021596377</v>
      </c>
      <c r="AW23" s="29">
        <f>'05_Monthly_Model'!AW34</f>
        <v>69345.446709769152</v>
      </c>
      <c r="AX23" s="29">
        <f>'05_Monthly_Model'!AX34</f>
        <v>69900.210283447304</v>
      </c>
      <c r="AY23" s="29">
        <f>'05_Monthly_Model'!AY34</f>
        <v>70459.411965714869</v>
      </c>
      <c r="AZ23" s="29">
        <f>'05_Monthly_Model'!AZ34</f>
        <v>71023.087261440596</v>
      </c>
      <c r="BA23" s="29">
        <f>'05_Monthly_Model'!BA34</f>
        <v>71591.271959532125</v>
      </c>
      <c r="BB23" s="29">
        <f>'05_Monthly_Model'!BB34</f>
        <v>72164.002135208371</v>
      </c>
      <c r="BC23" s="29">
        <f>'05_Monthly_Model'!BC34</f>
        <v>72741.314152290055</v>
      </c>
      <c r="BD23" s="29">
        <f>'05_Monthly_Model'!BD34</f>
        <v>73323.244665508377</v>
      </c>
      <c r="BE23" s="29">
        <f>'05_Monthly_Model'!BE34</f>
        <v>73909.830622832436</v>
      </c>
      <c r="BF23" s="29">
        <f>'05_Monthly_Model'!BF34</f>
        <v>74501.109267815104</v>
      </c>
      <c r="BG23" s="29">
        <f>'05_Monthly_Model'!BG34</f>
        <v>75097.118141957617</v>
      </c>
      <c r="BH23" s="29">
        <f>'05_Monthly_Model'!BH34</f>
        <v>75697.895087093289</v>
      </c>
      <c r="BI23" s="29">
        <f>'05_Monthly_Model'!BI34</f>
        <v>76303.47824779003</v>
      </c>
      <c r="BJ23" s="29">
        <f>'05_Monthly_Model'!BJ34</f>
        <v>76913.906073772348</v>
      </c>
      <c r="BK23" s="29">
        <f>'05_Monthly_Model'!BK34</f>
        <v>77529.217322362529</v>
      </c>
      <c r="BL23" s="29">
        <f>'05_Monthly_Model'!BL34</f>
        <v>78149.451060941428</v>
      </c>
      <c r="BM23" s="29">
        <f>'05_Monthly_Model'!BM34</f>
        <v>78774.64666942897</v>
      </c>
      <c r="BN23" s="29">
        <f>'05_Monthly_Model'!BN34</f>
        <v>79404.843842784394</v>
      </c>
      <c r="BO23" s="29">
        <f>'05_Monthly_Model'!BO34</f>
        <v>80040.082593526677</v>
      </c>
      <c r="BP23" s="29">
        <f>'05_Monthly_Model'!BP34</f>
        <v>80680.40325427489</v>
      </c>
      <c r="BQ23" s="29">
        <f>'05_Monthly_Model'!BQ34</f>
        <v>81325.84648030909</v>
      </c>
      <c r="BR23" s="29">
        <f>'05_Monthly_Model'!BR34</f>
        <v>81976.453252151565</v>
      </c>
      <c r="BS23" s="29">
        <f>'05_Monthly_Model'!BS34</f>
        <v>82632.264878168775</v>
      </c>
      <c r="BT23" s="29">
        <f>'05_Monthly_Model'!BT34</f>
        <v>83293.322997194118</v>
      </c>
      <c r="BU23" s="29">
        <f>'05_Monthly_Model'!BU34</f>
        <v>83959.669581171678</v>
      </c>
      <c r="BV23" s="29">
        <f>'05_Monthly_Model'!BV34</f>
        <v>84631.346937821043</v>
      </c>
      <c r="BW23" s="29">
        <f>'05_Monthly_Model'!BW34</f>
        <v>85308.397713323619</v>
      </c>
      <c r="BX23" s="29">
        <f>'05_Monthly_Model'!BX34</f>
        <v>85990.864895030201</v>
      </c>
      <c r="BY23" s="29">
        <f>'05_Monthly_Model'!BY34</f>
        <v>86678.791814190452</v>
      </c>
      <c r="BZ23" s="29">
        <f>'05_Monthly_Model'!BZ34</f>
        <v>87372.222148703964</v>
      </c>
      <c r="CA23" s="29">
        <f>'05_Monthly_Model'!CA34</f>
        <v>88071.199925893598</v>
      </c>
      <c r="CB23" s="29">
        <f>'05_Monthly_Model'!CB34</f>
        <v>88775.76952530074</v>
      </c>
      <c r="CC23" s="29">
        <f>'05_Monthly_Model'!CC34</f>
        <v>89485.975681503158</v>
      </c>
      <c r="CD23" s="29">
        <f>'05_Monthly_Model'!CD34</f>
        <v>90201.863486955175</v>
      </c>
      <c r="CE23" s="29">
        <f>'05_Monthly_Model'!CE34</f>
        <v>90923.478394850827</v>
      </c>
      <c r="CF23" s="29">
        <f>'05_Monthly_Model'!CF34</f>
        <v>91650.86622200963</v>
      </c>
      <c r="CG23" s="29">
        <f>'05_Monthly_Model'!CG34</f>
        <v>92384.073151785706</v>
      </c>
    </row>
    <row r="24" spans="1:85" x14ac:dyDescent="0.3">
      <c r="A24" s="26" t="s">
        <v>263</v>
      </c>
      <c r="B24" s="27">
        <f>'05_Monthly_Model'!B19</f>
        <v>4641129.1000000006</v>
      </c>
      <c r="C24" s="27">
        <f>'05_Monthly_Model'!C19</f>
        <v>4731102.6499999994</v>
      </c>
      <c r="D24" s="27">
        <f>'05_Monthly_Model'!D19</f>
        <v>4807431.4200000009</v>
      </c>
      <c r="E24" s="27">
        <f>'05_Monthly_Model'!E19</f>
        <v>4868707.2100000009</v>
      </c>
      <c r="F24" s="27">
        <f>'05_Monthly_Model'!F19</f>
        <v>4929130.58</v>
      </c>
      <c r="G24" s="27">
        <f>'05_Monthly_Model'!G19</f>
        <v>4974433.37</v>
      </c>
      <c r="H24" s="27">
        <f>'05_Monthly_Model'!H19</f>
        <v>5078536.9500000011</v>
      </c>
      <c r="I24" s="27">
        <f>'05_Monthly_Model'!I19</f>
        <v>5101870.17</v>
      </c>
      <c r="J24" s="27">
        <f>'05_Monthly_Model'!J19</f>
        <v>5180494.3099999996</v>
      </c>
      <c r="K24" s="27">
        <f>'05_Monthly_Model'!K19</f>
        <v>5252380.18</v>
      </c>
      <c r="L24" s="27">
        <f>'05_Monthly_Model'!L19</f>
        <v>5366818.25</v>
      </c>
      <c r="M24" s="27">
        <f>'05_Monthly_Model'!M19</f>
        <v>5390038.7999999998</v>
      </c>
      <c r="N24" s="27">
        <f>'05_Monthly_Model'!N19</f>
        <v>5441776.8500000006</v>
      </c>
      <c r="O24" s="27">
        <f>'05_Monthly_Model'!O19</f>
        <v>5549098.9000000004</v>
      </c>
      <c r="P24" s="27">
        <f>'05_Monthly_Model'!P19</f>
        <v>5583951.7800000003</v>
      </c>
      <c r="Q24" s="27">
        <f>'05_Monthly_Model'!Q19</f>
        <v>5651568.6500000004</v>
      </c>
      <c r="R24" s="27">
        <f>'05_Monthly_Model'!R19</f>
        <v>5807352.8200000003</v>
      </c>
      <c r="S24" s="27">
        <f>'05_Monthly_Model'!S19</f>
        <v>5904117.4299999997</v>
      </c>
      <c r="T24" s="27">
        <f>'05_Monthly_Model'!T19</f>
        <v>5952167.6600000001</v>
      </c>
      <c r="U24" s="27">
        <f>'05_Monthly_Model'!U19</f>
        <v>6093331.830000001</v>
      </c>
      <c r="V24" s="27">
        <f>'05_Monthly_Model'!V19</f>
        <v>6263049.2199999997</v>
      </c>
      <c r="W24" s="27">
        <f>'05_Monthly_Model'!W19</f>
        <v>6330825.9299999997</v>
      </c>
      <c r="X24" s="27">
        <f>'05_Monthly_Model'!X19</f>
        <v>6383200.4299999997</v>
      </c>
      <c r="Y24" s="27">
        <f>'05_Monthly_Model'!Y19</f>
        <v>6471488.5699999994</v>
      </c>
      <c r="Z24" s="27">
        <f>'05_Monthly_Model'!Z19</f>
        <v>6543292.5699999994</v>
      </c>
      <c r="AA24" s="27">
        <f>'05_Monthly_Model'!AA19</f>
        <v>6555501.7699999996</v>
      </c>
      <c r="AB24" s="27">
        <f>'05_Monthly_Model'!AB19</f>
        <v>6630713.8200000012</v>
      </c>
      <c r="AC24" s="27">
        <f>'05_Monthly_Model'!AC19</f>
        <v>6707394.5600000005</v>
      </c>
      <c r="AD24" s="27">
        <f>'05_Monthly_Model'!AD19</f>
        <v>6847152.3900000006</v>
      </c>
      <c r="AE24" s="27">
        <f>'05_Monthly_Model'!AE19</f>
        <v>6984886.4199999999</v>
      </c>
      <c r="AF24" s="27">
        <f>'05_Monthly_Model'!AF19</f>
        <v>7080832.7999999989</v>
      </c>
      <c r="AG24" s="27">
        <f>'05_Monthly_Model'!AG19</f>
        <v>7173988.1500000004</v>
      </c>
      <c r="AH24" s="27">
        <f>'05_Monthly_Model'!AH19</f>
        <v>7283674.1899999995</v>
      </c>
      <c r="AI24" s="27">
        <f>'05_Monthly_Model'!AI19</f>
        <v>7354067.54</v>
      </c>
      <c r="AJ24" s="27">
        <f>'05_Monthly_Model'!AJ19</f>
        <v>7457923.1699999999</v>
      </c>
      <c r="AK24" s="27">
        <f>'05_Monthly_Model'!AK19</f>
        <v>7533177.6399999987</v>
      </c>
      <c r="AL24" s="27">
        <f>'05_Monthly_Model'!AL19</f>
        <v>7616787.2600000007</v>
      </c>
      <c r="AM24" s="27">
        <f>'05_Monthly_Model'!AM19</f>
        <v>7615783.0899999999</v>
      </c>
      <c r="AN24" s="27">
        <f>'05_Monthly_Model'!AN19</f>
        <v>7599129.6400000006</v>
      </c>
      <c r="AO24" s="27">
        <f>'05_Monthly_Model'!AO19</f>
        <v>7618267.2399999993</v>
      </c>
      <c r="AP24" s="27">
        <f>'05_Monthly_Model'!AP19</f>
        <v>7621982.7300000004</v>
      </c>
      <c r="AQ24" s="27">
        <f>'05_Monthly_Model'!AQ19</f>
        <v>7655791.1799999997</v>
      </c>
      <c r="AR24" s="27">
        <f>'05_Monthly_Model'!AR19</f>
        <v>7732349.0917999996</v>
      </c>
      <c r="AS24" s="27">
        <f>'05_Monthly_Model'!AS19</f>
        <v>7809672.5827179998</v>
      </c>
      <c r="AT24" s="27">
        <f>'05_Monthly_Model'!AT19</f>
        <v>7887769.3085451797</v>
      </c>
      <c r="AU24" s="27">
        <f>'05_Monthly_Model'!AU19</f>
        <v>7966647.0016306313</v>
      </c>
      <c r="AV24" s="27">
        <f>'05_Monthly_Model'!AV19</f>
        <v>8046313.4716469375</v>
      </c>
      <c r="AW24" s="27">
        <f>'05_Monthly_Model'!AW19</f>
        <v>8126776.6063634073</v>
      </c>
      <c r="AX24" s="27">
        <f>'05_Monthly_Model'!AX19</f>
        <v>8208044.3724270416</v>
      </c>
      <c r="AY24" s="27">
        <f>'05_Monthly_Model'!AY19</f>
        <v>8290124.8161513126</v>
      </c>
      <c r="AZ24" s="27">
        <f>'05_Monthly_Model'!AZ19</f>
        <v>8373026.0643128259</v>
      </c>
      <c r="BA24" s="27">
        <f>'05_Monthly_Model'!BA19</f>
        <v>8456756.3249559551</v>
      </c>
      <c r="BB24" s="27">
        <f>'05_Monthly_Model'!BB19</f>
        <v>8541323.8882055152</v>
      </c>
      <c r="BC24" s="27">
        <f>'05_Monthly_Model'!BC19</f>
        <v>8626737.1270875707</v>
      </c>
      <c r="BD24" s="27">
        <f>'05_Monthly_Model'!BD19</f>
        <v>8713004.4983584471</v>
      </c>
      <c r="BE24" s="27">
        <f>'05_Monthly_Model'!BE19</f>
        <v>8800134.5433420315</v>
      </c>
      <c r="BF24" s="27">
        <f>'05_Monthly_Model'!BF19</f>
        <v>8888135.8887754511</v>
      </c>
      <c r="BG24" s="27">
        <f>'05_Monthly_Model'!BG19</f>
        <v>8977017.2476632055</v>
      </c>
      <c r="BH24" s="27">
        <f>'05_Monthly_Model'!BH19</f>
        <v>9066787.420139838</v>
      </c>
      <c r="BI24" s="27">
        <f>'05_Monthly_Model'!BI19</f>
        <v>9157455.2943412364</v>
      </c>
      <c r="BJ24" s="27">
        <f>'05_Monthly_Model'!BJ19</f>
        <v>9249029.8472846486</v>
      </c>
      <c r="BK24" s="27">
        <f>'05_Monthly_Model'!BK19</f>
        <v>9341520.1457574945</v>
      </c>
      <c r="BL24" s="27">
        <f>'05_Monthly_Model'!BL19</f>
        <v>9434935.3472150695</v>
      </c>
      <c r="BM24" s="27">
        <f>'05_Monthly_Model'!BM19</f>
        <v>9529284.7006872203</v>
      </c>
      <c r="BN24" s="27">
        <f>'05_Monthly_Model'!BN19</f>
        <v>9624577.5476940926</v>
      </c>
      <c r="BO24" s="27">
        <f>'05_Monthly_Model'!BO19</f>
        <v>9720823.3231710345</v>
      </c>
      <c r="BP24" s="27">
        <f>'05_Monthly_Model'!BP19</f>
        <v>9818031.5564027447</v>
      </c>
      <c r="BQ24" s="27">
        <f>'05_Monthly_Model'!BQ19</f>
        <v>9916211.8719667718</v>
      </c>
      <c r="BR24" s="27">
        <f>'05_Monthly_Model'!BR19</f>
        <v>10015373.990686439</v>
      </c>
      <c r="BS24" s="27">
        <f>'05_Monthly_Model'!BS19</f>
        <v>10115527.730593303</v>
      </c>
      <c r="BT24" s="27">
        <f>'05_Monthly_Model'!BT19</f>
        <v>10216683.007899236</v>
      </c>
      <c r="BU24" s="27">
        <f>'05_Monthly_Model'!BU19</f>
        <v>10318849.837978229</v>
      </c>
      <c r="BV24" s="27">
        <f>'05_Monthly_Model'!BV19</f>
        <v>10422038.336358011</v>
      </c>
      <c r="BW24" s="27">
        <f>'05_Monthly_Model'!BW19</f>
        <v>10526258.719721591</v>
      </c>
      <c r="BX24" s="27">
        <f>'05_Monthly_Model'!BX19</f>
        <v>10631521.306918807</v>
      </c>
      <c r="BY24" s="27">
        <f>'05_Monthly_Model'!BY19</f>
        <v>10737836.519987995</v>
      </c>
      <c r="BZ24" s="27">
        <f>'05_Monthly_Model'!BZ19</f>
        <v>10845214.885187875</v>
      </c>
      <c r="CA24" s="27">
        <f>'05_Monthly_Model'!CA19</f>
        <v>10953667.034039754</v>
      </c>
      <c r="CB24" s="27">
        <f>'05_Monthly_Model'!CB19</f>
        <v>11063203.704380153</v>
      </c>
      <c r="CC24" s="27">
        <f>'05_Monthly_Model'!CC19</f>
        <v>11173835.741423955</v>
      </c>
      <c r="CD24" s="27">
        <f>'05_Monthly_Model'!CD19</f>
        <v>11285574.098838195</v>
      </c>
      <c r="CE24" s="27">
        <f>'05_Monthly_Model'!CE19</f>
        <v>11398429.839826576</v>
      </c>
      <c r="CF24" s="27">
        <f>'05_Monthly_Model'!CF19</f>
        <v>11512414.138224842</v>
      </c>
      <c r="CG24" s="27">
        <f>'05_Monthly_Model'!CG19</f>
        <v>11627538.279607091</v>
      </c>
    </row>
    <row r="25" spans="1:85" x14ac:dyDescent="0.3">
      <c r="A25" s="26" t="s">
        <v>264</v>
      </c>
      <c r="B25" s="29">
        <f>B22-B23-B24</f>
        <v>-872919.13000000175</v>
      </c>
      <c r="C25" s="29">
        <f t="shared" ref="C25:BN25" si="9">C22-C23-C24</f>
        <v>-1563626.4900000026</v>
      </c>
      <c r="D25" s="29">
        <f t="shared" si="9"/>
        <v>-2441847.9600000009</v>
      </c>
      <c r="E25" s="29">
        <f t="shared" si="9"/>
        <v>-1701622.3600000017</v>
      </c>
      <c r="F25" s="29">
        <f t="shared" si="9"/>
        <v>-2570856.3100000005</v>
      </c>
      <c r="G25" s="29">
        <f t="shared" si="9"/>
        <v>-1491651.8200000036</v>
      </c>
      <c r="H25" s="29">
        <f t="shared" si="9"/>
        <v>-2033014.2900000038</v>
      </c>
      <c r="I25" s="29">
        <f t="shared" si="9"/>
        <v>-1694548.2200000007</v>
      </c>
      <c r="J25" s="29">
        <f t="shared" si="9"/>
        <v>-2003674.3799999994</v>
      </c>
      <c r="K25" s="29">
        <f t="shared" si="9"/>
        <v>-1727989.3299999973</v>
      </c>
      <c r="L25" s="29">
        <f t="shared" si="9"/>
        <v>-2681819.9699999979</v>
      </c>
      <c r="M25" s="29">
        <f t="shared" si="9"/>
        <v>-2119425.2500000028</v>
      </c>
      <c r="N25" s="29">
        <f t="shared" si="9"/>
        <v>-1169936.4600000056</v>
      </c>
      <c r="O25" s="29">
        <f t="shared" si="9"/>
        <v>-2032943.4400000018</v>
      </c>
      <c r="P25" s="29">
        <f t="shared" si="9"/>
        <v>-2009101.0400000005</v>
      </c>
      <c r="Q25" s="29">
        <f t="shared" si="9"/>
        <v>-2182067.7600000016</v>
      </c>
      <c r="R25" s="29">
        <f t="shared" si="9"/>
        <v>-1220073.2000000058</v>
      </c>
      <c r="S25" s="29">
        <f t="shared" si="9"/>
        <v>-1546927.8399999989</v>
      </c>
      <c r="T25" s="29">
        <f t="shared" si="9"/>
        <v>-2180234.4499999983</v>
      </c>
      <c r="U25" s="29">
        <f t="shared" si="9"/>
        <v>-1048474.4300000016</v>
      </c>
      <c r="V25" s="29">
        <f t="shared" si="9"/>
        <v>-2140481.8399999994</v>
      </c>
      <c r="W25" s="29">
        <f t="shared" si="9"/>
        <v>-2235697.2899999991</v>
      </c>
      <c r="X25" s="29">
        <f t="shared" si="9"/>
        <v>-2942921.4800000014</v>
      </c>
      <c r="Y25" s="29">
        <f t="shared" si="9"/>
        <v>-1872527.620000002</v>
      </c>
      <c r="Z25" s="29">
        <f t="shared" si="9"/>
        <v>-1790963.9999999991</v>
      </c>
      <c r="AA25" s="29">
        <f t="shared" si="9"/>
        <v>-1806853.7900000066</v>
      </c>
      <c r="AB25" s="29">
        <f t="shared" si="9"/>
        <v>-1943542.7800000021</v>
      </c>
      <c r="AC25" s="29">
        <f t="shared" si="9"/>
        <v>-2110166.060000008</v>
      </c>
      <c r="AD25" s="29">
        <f t="shared" si="9"/>
        <v>-1868095.5999999978</v>
      </c>
      <c r="AE25" s="29">
        <f t="shared" si="9"/>
        <v>-2009892.0700000012</v>
      </c>
      <c r="AF25" s="29">
        <f t="shared" si="9"/>
        <v>-2594269.2999999998</v>
      </c>
      <c r="AG25" s="29">
        <f t="shared" si="9"/>
        <v>-1368213.8400000017</v>
      </c>
      <c r="AH25" s="29">
        <f t="shared" si="9"/>
        <v>-2598355.9400000032</v>
      </c>
      <c r="AI25" s="29">
        <f t="shared" si="9"/>
        <v>-3190818.6000000024</v>
      </c>
      <c r="AJ25" s="29">
        <f t="shared" si="9"/>
        <v>-3555068.74</v>
      </c>
      <c r="AK25" s="29">
        <f t="shared" si="9"/>
        <v>-2584928.040000001</v>
      </c>
      <c r="AL25" s="29">
        <f t="shared" si="9"/>
        <v>-2745905.0200000079</v>
      </c>
      <c r="AM25" s="29">
        <f t="shared" si="9"/>
        <v>-2914835.1700000037</v>
      </c>
      <c r="AN25" s="29">
        <f t="shared" si="9"/>
        <v>-3408976.2400000012</v>
      </c>
      <c r="AO25" s="29">
        <f t="shared" si="9"/>
        <v>-4128758.1599999978</v>
      </c>
      <c r="AP25" s="29">
        <f t="shared" si="9"/>
        <v>-5728909.9900000002</v>
      </c>
      <c r="AQ25" s="29">
        <f t="shared" si="9"/>
        <v>-7391426.8700000001</v>
      </c>
      <c r="AR25" s="29">
        <f t="shared" si="9"/>
        <v>-2815737.8818111978</v>
      </c>
      <c r="AS25" s="29">
        <f t="shared" si="9"/>
        <v>-2853728.4830492875</v>
      </c>
      <c r="AT25" s="29">
        <f t="shared" si="9"/>
        <v>-2892177.6560791172</v>
      </c>
      <c r="AU25" s="29">
        <f t="shared" si="9"/>
        <v>-2931090.6159448409</v>
      </c>
      <c r="AV25" s="29">
        <f t="shared" si="9"/>
        <v>-2970472.6348756608</v>
      </c>
      <c r="AW25" s="29">
        <f t="shared" si="9"/>
        <v>-3010329.0428979592</v>
      </c>
      <c r="AX25" s="29">
        <f t="shared" si="9"/>
        <v>-3050665.2284538699</v>
      </c>
      <c r="AY25" s="29">
        <f t="shared" si="9"/>
        <v>-3091486.6390263559</v>
      </c>
      <c r="AZ25" s="29">
        <f t="shared" si="9"/>
        <v>-3132798.7817708692</v>
      </c>
      <c r="BA25" s="29">
        <f t="shared" si="9"/>
        <v>-3174607.224153663</v>
      </c>
      <c r="BB25" s="29">
        <f t="shared" si="9"/>
        <v>-3216917.5945968051</v>
      </c>
      <c r="BC25" s="29">
        <f t="shared" si="9"/>
        <v>-3259735.5831299908</v>
      </c>
      <c r="BD25" s="29">
        <f t="shared" si="9"/>
        <v>-3303066.9420492062</v>
      </c>
      <c r="BE25" s="29">
        <f t="shared" si="9"/>
        <v>-3346917.4865823165</v>
      </c>
      <c r="BF25" s="29">
        <f t="shared" si="9"/>
        <v>-3391293.095561658</v>
      </c>
      <c r="BG25" s="29">
        <f t="shared" si="9"/>
        <v>-3436199.7121037021</v>
      </c>
      <c r="BH25" s="29">
        <f t="shared" si="9"/>
        <v>-3481643.3442958584</v>
      </c>
      <c r="BI25" s="29">
        <f t="shared" si="9"/>
        <v>-3527630.065890505</v>
      </c>
      <c r="BJ25" s="29">
        <f t="shared" si="9"/>
        <v>-3574166.0170063116</v>
      </c>
      <c r="BK25" s="29">
        <f t="shared" si="9"/>
        <v>-3621257.4048369303</v>
      </c>
      <c r="BL25" s="29">
        <f t="shared" si="9"/>
        <v>-3668910.5043671411</v>
      </c>
      <c r="BM25" s="29">
        <f t="shared" si="9"/>
        <v>-3717131.6590965083</v>
      </c>
      <c r="BN25" s="29">
        <f t="shared" si="9"/>
        <v>-3765927.281770654</v>
      </c>
      <c r="BO25" s="29">
        <f t="shared" ref="BO25:CG25" si="10">BO22-BO23-BO24</f>
        <v>-3815303.855120209</v>
      </c>
      <c r="BP25" s="29">
        <f t="shared" si="10"/>
        <v>-3865267.9326075129</v>
      </c>
      <c r="BQ25" s="29">
        <f t="shared" si="10"/>
        <v>-3915826.1391811781</v>
      </c>
      <c r="BR25" s="29">
        <f t="shared" si="10"/>
        <v>-3966985.1720385598</v>
      </c>
      <c r="BS25" s="29">
        <f t="shared" si="10"/>
        <v>-4018751.8013962405</v>
      </c>
      <c r="BT25" s="29">
        <f t="shared" si="10"/>
        <v>-4071132.8712685965</v>
      </c>
      <c r="BU25" s="29">
        <f t="shared" si="10"/>
        <v>-4124135.3002545452</v>
      </c>
      <c r="BV25" s="29">
        <f t="shared" si="10"/>
        <v>-4177766.0823325375</v>
      </c>
      <c r="BW25" s="29">
        <f t="shared" si="10"/>
        <v>-4232032.2876639143</v>
      </c>
      <c r="BX25" s="29">
        <f t="shared" si="10"/>
        <v>-4286941.0634046681</v>
      </c>
      <c r="BY25" s="29">
        <f t="shared" si="10"/>
        <v>-4342499.6345257424</v>
      </c>
      <c r="BZ25" s="29">
        <f t="shared" si="10"/>
        <v>-4398715.3046419248</v>
      </c>
      <c r="CA25" s="29">
        <f t="shared" si="10"/>
        <v>-4455595.4568494363</v>
      </c>
      <c r="CB25" s="29">
        <f t="shared" si="10"/>
        <v>-4513147.5545723122</v>
      </c>
      <c r="CC25" s="29">
        <f t="shared" si="10"/>
        <v>-4571379.1424176516</v>
      </c>
      <c r="CD25" s="29">
        <f t="shared" si="10"/>
        <v>-4630297.8470398411</v>
      </c>
      <c r="CE25" s="29">
        <f t="shared" si="10"/>
        <v>-4689911.3780138362</v>
      </c>
      <c r="CF25" s="29">
        <f t="shared" si="10"/>
        <v>-4750227.5287175998</v>
      </c>
      <c r="CG25" s="29">
        <f t="shared" si="10"/>
        <v>-4811254.1772237904</v>
      </c>
    </row>
    <row r="26" spans="1:85" x14ac:dyDescent="0.3">
      <c r="A26" s="26" t="s">
        <v>265</v>
      </c>
      <c r="B26" s="27">
        <f>B20+B25</f>
        <v>9127080.8699999973</v>
      </c>
      <c r="C26" s="27">
        <f t="shared" ref="C26:BN26" si="11">C20+C25</f>
        <v>7563454.3799999952</v>
      </c>
      <c r="D26" s="27">
        <f t="shared" si="11"/>
        <v>5121606.4199999943</v>
      </c>
      <c r="E26" s="27">
        <f t="shared" si="11"/>
        <v>3419984.0599999926</v>
      </c>
      <c r="F26" s="27">
        <f t="shared" si="11"/>
        <v>849127.74999999208</v>
      </c>
      <c r="G26" s="27">
        <f t="shared" si="11"/>
        <v>-642524.07000001147</v>
      </c>
      <c r="H26" s="27">
        <f t="shared" si="11"/>
        <v>-2675538.3600000152</v>
      </c>
      <c r="I26" s="27">
        <f t="shared" si="11"/>
        <v>-4370086.5800000159</v>
      </c>
      <c r="J26" s="27">
        <f t="shared" si="11"/>
        <v>-6373760.9600000158</v>
      </c>
      <c r="K26" s="27">
        <f t="shared" si="11"/>
        <v>-8101750.2900000131</v>
      </c>
      <c r="L26" s="27">
        <f t="shared" si="11"/>
        <v>-10783570.260000011</v>
      </c>
      <c r="M26" s="27">
        <f t="shared" si="11"/>
        <v>-12902995.510000013</v>
      </c>
      <c r="N26" s="27">
        <f t="shared" si="11"/>
        <v>-14072931.970000017</v>
      </c>
      <c r="O26" s="27">
        <f t="shared" si="11"/>
        <v>-16105875.410000019</v>
      </c>
      <c r="P26" s="27">
        <f t="shared" si="11"/>
        <v>-18114976.450000018</v>
      </c>
      <c r="Q26" s="27">
        <f t="shared" si="11"/>
        <v>-20297044.21000002</v>
      </c>
      <c r="R26" s="27">
        <f t="shared" si="11"/>
        <v>-21517117.410000026</v>
      </c>
      <c r="S26" s="27">
        <f t="shared" si="11"/>
        <v>-23064045.250000026</v>
      </c>
      <c r="T26" s="27">
        <f t="shared" si="11"/>
        <v>-25244279.700000025</v>
      </c>
      <c r="U26" s="27">
        <f t="shared" si="11"/>
        <v>-26292754.130000025</v>
      </c>
      <c r="V26" s="27">
        <f t="shared" si="11"/>
        <v>-28433235.970000025</v>
      </c>
      <c r="W26" s="27">
        <f t="shared" si="11"/>
        <v>-30668933.260000024</v>
      </c>
      <c r="X26" s="27">
        <f t="shared" si="11"/>
        <v>-33611854.740000024</v>
      </c>
      <c r="Y26" s="27">
        <f t="shared" si="11"/>
        <v>-35484382.360000029</v>
      </c>
      <c r="Z26" s="27">
        <f t="shared" si="11"/>
        <v>-37275346.360000029</v>
      </c>
      <c r="AA26" s="27">
        <f t="shared" si="11"/>
        <v>-39082200.150000036</v>
      </c>
      <c r="AB26" s="27">
        <f t="shared" si="11"/>
        <v>-41025742.930000037</v>
      </c>
      <c r="AC26" s="27">
        <f t="shared" si="11"/>
        <v>-43135908.990000047</v>
      </c>
      <c r="AD26" s="27">
        <f t="shared" si="11"/>
        <v>-45004004.590000048</v>
      </c>
      <c r="AE26" s="27">
        <f t="shared" si="11"/>
        <v>-47013896.660000049</v>
      </c>
      <c r="AF26" s="27">
        <f t="shared" si="11"/>
        <v>-49608165.960000046</v>
      </c>
      <c r="AG26" s="27">
        <f t="shared" si="11"/>
        <v>-50976379.800000049</v>
      </c>
      <c r="AH26" s="27">
        <f t="shared" si="11"/>
        <v>-53574735.740000054</v>
      </c>
      <c r="AI26" s="27">
        <f t="shared" si="11"/>
        <v>-56765554.340000056</v>
      </c>
      <c r="AJ26" s="27">
        <f t="shared" si="11"/>
        <v>-60320623.080000058</v>
      </c>
      <c r="AK26" s="27">
        <f t="shared" si="11"/>
        <v>-62905551.120000057</v>
      </c>
      <c r="AL26" s="27">
        <f t="shared" si="11"/>
        <v>-65651456.140000068</v>
      </c>
      <c r="AM26" s="27">
        <f t="shared" si="11"/>
        <v>-68566291.310000077</v>
      </c>
      <c r="AN26" s="27">
        <f t="shared" si="11"/>
        <v>-71975267.550000072</v>
      </c>
      <c r="AO26" s="27">
        <f t="shared" si="11"/>
        <v>-76104025.710000068</v>
      </c>
      <c r="AP26" s="27">
        <f t="shared" si="11"/>
        <v>-81832935.700000063</v>
      </c>
      <c r="AQ26" s="27">
        <f t="shared" si="11"/>
        <v>-89224362.570000067</v>
      </c>
      <c r="AR26" s="27">
        <f t="shared" si="11"/>
        <v>-92040100.451811269</v>
      </c>
      <c r="AS26" s="27">
        <f t="shared" si="11"/>
        <v>-94893828.934860557</v>
      </c>
      <c r="AT26" s="27">
        <f t="shared" si="11"/>
        <v>-97786006.590939671</v>
      </c>
      <c r="AU26" s="27">
        <f t="shared" si="11"/>
        <v>-100717097.20688452</v>
      </c>
      <c r="AV26" s="27">
        <f t="shared" si="11"/>
        <v>-103687569.84176017</v>
      </c>
      <c r="AW26" s="27">
        <f t="shared" si="11"/>
        <v>-106697898.88465813</v>
      </c>
      <c r="AX26" s="27">
        <f t="shared" si="11"/>
        <v>-109748564.113112</v>
      </c>
      <c r="AY26" s="27">
        <f t="shared" si="11"/>
        <v>-112840050.75213836</v>
      </c>
      <c r="AZ26" s="27">
        <f t="shared" si="11"/>
        <v>-115972849.53390923</v>
      </c>
      <c r="BA26" s="27">
        <f t="shared" si="11"/>
        <v>-119147456.7580629</v>
      </c>
      <c r="BB26" s="27">
        <f t="shared" si="11"/>
        <v>-122364374.3526597</v>
      </c>
      <c r="BC26" s="27">
        <f t="shared" si="11"/>
        <v>-125624109.93578969</v>
      </c>
      <c r="BD26" s="27">
        <f t="shared" si="11"/>
        <v>-128927176.87783889</v>
      </c>
      <c r="BE26" s="27">
        <f t="shared" si="11"/>
        <v>-132274094.36442122</v>
      </c>
      <c r="BF26" s="27">
        <f t="shared" si="11"/>
        <v>-135665387.45998287</v>
      </c>
      <c r="BG26" s="27">
        <f t="shared" si="11"/>
        <v>-139101587.17208657</v>
      </c>
      <c r="BH26" s="27">
        <f t="shared" si="11"/>
        <v>-142583230.51638243</v>
      </c>
      <c r="BI26" s="27">
        <f t="shared" si="11"/>
        <v>-146110860.58227292</v>
      </c>
      <c r="BJ26" s="27">
        <f t="shared" si="11"/>
        <v>-149685026.59927922</v>
      </c>
      <c r="BK26" s="27">
        <f t="shared" si="11"/>
        <v>-153306284.00411615</v>
      </c>
      <c r="BL26" s="27">
        <f t="shared" si="11"/>
        <v>-156975194.50848329</v>
      </c>
      <c r="BM26" s="27">
        <f t="shared" si="11"/>
        <v>-160692326.1675798</v>
      </c>
      <c r="BN26" s="27">
        <f t="shared" si="11"/>
        <v>-164458253.44935045</v>
      </c>
      <c r="BO26" s="27">
        <f t="shared" ref="BO26:CG26" si="12">BO20+BO25</f>
        <v>-168273557.30447066</v>
      </c>
      <c r="BP26" s="27">
        <f t="shared" si="12"/>
        <v>-172138825.23707816</v>
      </c>
      <c r="BQ26" s="27">
        <f t="shared" si="12"/>
        <v>-176054651.37625933</v>
      </c>
      <c r="BR26" s="27">
        <f t="shared" si="12"/>
        <v>-180021636.54829788</v>
      </c>
      <c r="BS26" s="27">
        <f t="shared" si="12"/>
        <v>-184040388.34969413</v>
      </c>
      <c r="BT26" s="27">
        <f t="shared" si="12"/>
        <v>-188111521.22096273</v>
      </c>
      <c r="BU26" s="27">
        <f t="shared" si="12"/>
        <v>-192235656.52121729</v>
      </c>
      <c r="BV26" s="27">
        <f t="shared" si="12"/>
        <v>-196413422.60354984</v>
      </c>
      <c r="BW26" s="27">
        <f t="shared" si="12"/>
        <v>-200645454.89121374</v>
      </c>
      <c r="BX26" s="27">
        <f t="shared" si="12"/>
        <v>-204932395.95461842</v>
      </c>
      <c r="BY26" s="27">
        <f t="shared" si="12"/>
        <v>-209274895.58914417</v>
      </c>
      <c r="BZ26" s="27">
        <f t="shared" si="12"/>
        <v>-213673610.8937861</v>
      </c>
      <c r="CA26" s="27">
        <f t="shared" si="12"/>
        <v>-218129206.35063553</v>
      </c>
      <c r="CB26" s="27">
        <f t="shared" si="12"/>
        <v>-222642353.90520784</v>
      </c>
      <c r="CC26" s="27">
        <f t="shared" si="12"/>
        <v>-227213733.04762548</v>
      </c>
      <c r="CD26" s="27">
        <f t="shared" si="12"/>
        <v>-231844030.89466533</v>
      </c>
      <c r="CE26" s="27">
        <f t="shared" si="12"/>
        <v>-236533942.27267918</v>
      </c>
      <c r="CF26" s="27">
        <f t="shared" si="12"/>
        <v>-241284169.80139679</v>
      </c>
      <c r="CG26" s="27">
        <f t="shared" si="12"/>
        <v>-246095423.97862059</v>
      </c>
    </row>
    <row r="27" spans="1:85" x14ac:dyDescent="0.3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</row>
    <row r="28" spans="1:85" x14ac:dyDescent="0.3">
      <c r="A28" s="23" t="s">
        <v>266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5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</row>
    <row r="29" spans="1:85" x14ac:dyDescent="0.3">
      <c r="A29" s="26" t="s">
        <v>267</v>
      </c>
      <c r="B29" s="27">
        <f>B20+B25-B26</f>
        <v>0</v>
      </c>
      <c r="C29" s="27">
        <f t="shared" ref="C29:BN29" si="13">C20+C25-C26</f>
        <v>0</v>
      </c>
      <c r="D29" s="27">
        <f t="shared" si="13"/>
        <v>0</v>
      </c>
      <c r="E29" s="27">
        <f t="shared" si="13"/>
        <v>0</v>
      </c>
      <c r="F29" s="27">
        <f t="shared" si="13"/>
        <v>0</v>
      </c>
      <c r="G29" s="27">
        <f t="shared" si="13"/>
        <v>0</v>
      </c>
      <c r="H29" s="27">
        <f t="shared" si="13"/>
        <v>0</v>
      </c>
      <c r="I29" s="27">
        <f t="shared" si="13"/>
        <v>0</v>
      </c>
      <c r="J29" s="27">
        <f t="shared" si="13"/>
        <v>0</v>
      </c>
      <c r="K29" s="27">
        <f t="shared" si="13"/>
        <v>0</v>
      </c>
      <c r="L29" s="27">
        <f t="shared" si="13"/>
        <v>0</v>
      </c>
      <c r="M29" s="27">
        <f t="shared" si="13"/>
        <v>0</v>
      </c>
      <c r="N29" s="27">
        <f t="shared" si="13"/>
        <v>0</v>
      </c>
      <c r="O29" s="27">
        <f t="shared" si="13"/>
        <v>0</v>
      </c>
      <c r="P29" s="27">
        <f t="shared" si="13"/>
        <v>0</v>
      </c>
      <c r="Q29" s="27">
        <f t="shared" si="13"/>
        <v>0</v>
      </c>
      <c r="R29" s="27">
        <f t="shared" si="13"/>
        <v>0</v>
      </c>
      <c r="S29" s="27">
        <f t="shared" si="13"/>
        <v>0</v>
      </c>
      <c r="T29" s="27">
        <f t="shared" si="13"/>
        <v>0</v>
      </c>
      <c r="U29" s="27">
        <f t="shared" si="13"/>
        <v>0</v>
      </c>
      <c r="V29" s="27">
        <f t="shared" si="13"/>
        <v>0</v>
      </c>
      <c r="W29" s="27">
        <f t="shared" si="13"/>
        <v>0</v>
      </c>
      <c r="X29" s="27">
        <f t="shared" si="13"/>
        <v>0</v>
      </c>
      <c r="Y29" s="27">
        <f t="shared" si="13"/>
        <v>0</v>
      </c>
      <c r="Z29" s="27">
        <f t="shared" si="13"/>
        <v>0</v>
      </c>
      <c r="AA29" s="27">
        <f t="shared" si="13"/>
        <v>0</v>
      </c>
      <c r="AB29" s="27">
        <f t="shared" si="13"/>
        <v>0</v>
      </c>
      <c r="AC29" s="27">
        <f t="shared" si="13"/>
        <v>0</v>
      </c>
      <c r="AD29" s="27">
        <f t="shared" si="13"/>
        <v>0</v>
      </c>
      <c r="AE29" s="27">
        <f t="shared" si="13"/>
        <v>0</v>
      </c>
      <c r="AF29" s="27">
        <f t="shared" si="13"/>
        <v>0</v>
      </c>
      <c r="AG29" s="27">
        <f t="shared" si="13"/>
        <v>0</v>
      </c>
      <c r="AH29" s="27">
        <f t="shared" si="13"/>
        <v>0</v>
      </c>
      <c r="AI29" s="27">
        <f t="shared" si="13"/>
        <v>0</v>
      </c>
      <c r="AJ29" s="27">
        <f t="shared" si="13"/>
        <v>0</v>
      </c>
      <c r="AK29" s="27">
        <f t="shared" si="13"/>
        <v>0</v>
      </c>
      <c r="AL29" s="27">
        <f t="shared" si="13"/>
        <v>0</v>
      </c>
      <c r="AM29" s="27">
        <f t="shared" si="13"/>
        <v>0</v>
      </c>
      <c r="AN29" s="27">
        <f t="shared" si="13"/>
        <v>0</v>
      </c>
      <c r="AO29" s="27">
        <f t="shared" si="13"/>
        <v>0</v>
      </c>
      <c r="AP29" s="27">
        <f t="shared" si="13"/>
        <v>0</v>
      </c>
      <c r="AQ29" s="27">
        <f t="shared" si="13"/>
        <v>0</v>
      </c>
      <c r="AR29" s="27">
        <f t="shared" si="13"/>
        <v>0</v>
      </c>
      <c r="AS29" s="27">
        <f t="shared" si="13"/>
        <v>0</v>
      </c>
      <c r="AT29" s="27">
        <f t="shared" si="13"/>
        <v>0</v>
      </c>
      <c r="AU29" s="27">
        <f t="shared" si="13"/>
        <v>0</v>
      </c>
      <c r="AV29" s="27">
        <f t="shared" si="13"/>
        <v>0</v>
      </c>
      <c r="AW29" s="27">
        <f t="shared" si="13"/>
        <v>0</v>
      </c>
      <c r="AX29" s="27">
        <f t="shared" si="13"/>
        <v>0</v>
      </c>
      <c r="AY29" s="27">
        <f t="shared" si="13"/>
        <v>0</v>
      </c>
      <c r="AZ29" s="27">
        <f t="shared" si="13"/>
        <v>0</v>
      </c>
      <c r="BA29" s="27">
        <f t="shared" si="13"/>
        <v>0</v>
      </c>
      <c r="BB29" s="27">
        <f t="shared" si="13"/>
        <v>0</v>
      </c>
      <c r="BC29" s="27">
        <f t="shared" si="13"/>
        <v>0</v>
      </c>
      <c r="BD29" s="27">
        <f t="shared" si="13"/>
        <v>0</v>
      </c>
      <c r="BE29" s="27">
        <f t="shared" si="13"/>
        <v>0</v>
      </c>
      <c r="BF29" s="27">
        <f t="shared" si="13"/>
        <v>0</v>
      </c>
      <c r="BG29" s="27">
        <f t="shared" si="13"/>
        <v>0</v>
      </c>
      <c r="BH29" s="27">
        <f t="shared" si="13"/>
        <v>0</v>
      </c>
      <c r="BI29" s="27">
        <f t="shared" si="13"/>
        <v>0</v>
      </c>
      <c r="BJ29" s="27">
        <f t="shared" si="13"/>
        <v>0</v>
      </c>
      <c r="BK29" s="27">
        <f t="shared" si="13"/>
        <v>0</v>
      </c>
      <c r="BL29" s="27">
        <f t="shared" si="13"/>
        <v>0</v>
      </c>
      <c r="BM29" s="27">
        <f t="shared" si="13"/>
        <v>0</v>
      </c>
      <c r="BN29" s="27">
        <f t="shared" si="13"/>
        <v>0</v>
      </c>
      <c r="BO29" s="27">
        <f t="shared" ref="BO29:CG29" si="14">BO20+BO25-BO26</f>
        <v>0</v>
      </c>
      <c r="BP29" s="27">
        <f t="shared" si="14"/>
        <v>0</v>
      </c>
      <c r="BQ29" s="27">
        <f t="shared" si="14"/>
        <v>0</v>
      </c>
      <c r="BR29" s="27">
        <f t="shared" si="14"/>
        <v>0</v>
      </c>
      <c r="BS29" s="27">
        <f t="shared" si="14"/>
        <v>0</v>
      </c>
      <c r="BT29" s="27">
        <f t="shared" si="14"/>
        <v>0</v>
      </c>
      <c r="BU29" s="27">
        <f t="shared" si="14"/>
        <v>0</v>
      </c>
      <c r="BV29" s="27">
        <f t="shared" si="14"/>
        <v>0</v>
      </c>
      <c r="BW29" s="27">
        <f t="shared" si="14"/>
        <v>0</v>
      </c>
      <c r="BX29" s="27">
        <f t="shared" si="14"/>
        <v>0</v>
      </c>
      <c r="BY29" s="27">
        <f t="shared" si="14"/>
        <v>0</v>
      </c>
      <c r="BZ29" s="27">
        <f t="shared" si="14"/>
        <v>0</v>
      </c>
      <c r="CA29" s="27">
        <f t="shared" si="14"/>
        <v>0</v>
      </c>
      <c r="CB29" s="27">
        <f t="shared" si="14"/>
        <v>0</v>
      </c>
      <c r="CC29" s="27">
        <f t="shared" si="14"/>
        <v>0</v>
      </c>
      <c r="CD29" s="27">
        <f t="shared" si="14"/>
        <v>0</v>
      </c>
      <c r="CE29" s="27">
        <f t="shared" si="14"/>
        <v>0</v>
      </c>
      <c r="CF29" s="27">
        <f t="shared" si="14"/>
        <v>0</v>
      </c>
      <c r="CG29" s="27">
        <f t="shared" si="14"/>
        <v>0</v>
      </c>
    </row>
    <row r="30" spans="1:85" ht="15" thickBot="1" x14ac:dyDescent="0.3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</row>
    <row r="31" spans="1:85" ht="15" thickTop="1" x14ac:dyDescent="0.3">
      <c r="A31" s="99" t="s">
        <v>271</v>
      </c>
      <c r="B31" s="100"/>
      <c r="C31" s="100"/>
      <c r="D31" s="100"/>
      <c r="E31" s="100"/>
      <c r="F31" s="100"/>
      <c r="G31" s="100"/>
      <c r="H31" s="101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</row>
    <row r="32" spans="1:85" x14ac:dyDescent="0.3">
      <c r="A32" s="102"/>
      <c r="B32" s="103">
        <v>2023</v>
      </c>
      <c r="C32" s="103">
        <v>2024</v>
      </c>
      <c r="D32" s="103">
        <v>2025</v>
      </c>
      <c r="E32" s="103">
        <v>2026</v>
      </c>
      <c r="F32" s="103">
        <v>2027</v>
      </c>
      <c r="G32" s="103">
        <v>2028</v>
      </c>
      <c r="H32" s="104">
        <v>2029</v>
      </c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</row>
    <row r="33" spans="1:85" x14ac:dyDescent="0.3">
      <c r="A33" s="105" t="s">
        <v>253</v>
      </c>
      <c r="B33" s="106" t="str" cm="1">
        <f t="array" ref="B33">IF(SUMPRODUCT(('05_Monthly_Model'!$B$6:$CG$6=B$32)*($B$5:$CG$5="Forecast"))=0,"Actual",IF(SUMPRODUCT(('05_Monthly_Model'!$B$6:$CG$6=B$32)*($B$5:$CG$5="Actual"))=0,"Forecast","Blended"))</f>
        <v>Actual</v>
      </c>
      <c r="C33" s="106" t="str" cm="1">
        <f t="array" ref="C33">IF(SUMPRODUCT(('05_Monthly_Model'!$B$6:$CG$6=C$32)*($B$5:$CG$5="Forecast"))=0,"Actual",IF(SUMPRODUCT(('05_Monthly_Model'!$B$6:$CG$6=C$32)*($B$5:$CG$5="Actual"))=0,"Forecast","Blended"))</f>
        <v>Actual</v>
      </c>
      <c r="D33" s="106" t="str" cm="1">
        <f t="array" ref="D33">IF(SUMPRODUCT(('05_Monthly_Model'!$B$6:$CG$6=D$32)*($B$5:$CG$5="Forecast"))=0,"Actual",IF(SUMPRODUCT(('05_Monthly_Model'!$B$6:$CG$6=D$32)*($B$5:$CG$5="Actual"))=0,"Forecast","Blended"))</f>
        <v>Actual</v>
      </c>
      <c r="E33" s="106" t="s">
        <v>254</v>
      </c>
      <c r="F33" s="106" t="str" cm="1">
        <f t="array" ref="F33">IF(SUMPRODUCT(('05_Monthly_Model'!$B$6:$CG$6=F$32)*($B$5:$CG$5="Forecast"))=0,"Actual",IF(SUMPRODUCT(('05_Monthly_Model'!$B$6:$CG$6=F$32)*($B$5:$CG$5="Actual"))=0,"Forecast","Blended"))</f>
        <v>Forecast</v>
      </c>
      <c r="G33" s="106" t="str" cm="1">
        <f t="array" ref="G33">IF(SUMPRODUCT(('05_Monthly_Model'!$B$6:$CG$6=G$32)*($B$5:$CG$5="Forecast"))=0,"Actual",IF(SUMPRODUCT(('05_Monthly_Model'!$B$6:$CG$6=G$32)*($B$5:$CG$5="Actual"))=0,"Forecast","Blended"))</f>
        <v>Forecast</v>
      </c>
      <c r="H33" s="107" t="str" cm="1">
        <f t="array" ref="H33">IF(SUMPRODUCT(('05_Monthly_Model'!$B$6:$CG$6=H$32)*($B$5:$CG$5="Forecast"))=0,"Actual",IF(SUMPRODUCT(('05_Monthly_Model'!$B$6:$CG$6=H$32)*($B$5:$CG$5="Actual"))=0,"Forecast","Blended"))</f>
        <v>Forecast</v>
      </c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</row>
    <row r="34" spans="1:85" x14ac:dyDescent="0.3">
      <c r="A34" s="23" t="s">
        <v>256</v>
      </c>
      <c r="B34" s="23"/>
      <c r="C34" s="23"/>
      <c r="D34" s="23"/>
      <c r="E34" s="23"/>
      <c r="F34" s="23"/>
      <c r="G34" s="23"/>
      <c r="H34" s="11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</row>
    <row r="35" spans="1:85" x14ac:dyDescent="0.3">
      <c r="A35" s="26" t="s">
        <v>257</v>
      </c>
      <c r="B35" s="27">
        <f>_xlfn.XLOOKUP(DATE(B$32,12,1),$B$4:$CG$4,$B$10:$CG$10)</f>
        <v>933546.36999999965</v>
      </c>
      <c r="C35" s="27">
        <f t="shared" ref="C35:H35" si="15">_xlfn.XLOOKUP(DATE(C$32,12,1),$B$4:$CG$4,$B$10:$CG$10)</f>
        <v>925259.56000000017</v>
      </c>
      <c r="D35" s="27">
        <f t="shared" si="15"/>
        <v>1086816.2700000005</v>
      </c>
      <c r="E35" s="27">
        <f t="shared" si="15"/>
        <v>948620.67259302747</v>
      </c>
      <c r="F35" s="27">
        <f t="shared" si="15"/>
        <v>1043804.0317131442</v>
      </c>
      <c r="G35" s="27">
        <f t="shared" si="15"/>
        <v>1148537.9647508883</v>
      </c>
      <c r="H35" s="113">
        <f t="shared" si="15"/>
        <v>1263780.7638173939</v>
      </c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</row>
    <row r="36" spans="1:85" x14ac:dyDescent="0.3">
      <c r="A36" s="26"/>
      <c r="B36" s="97"/>
      <c r="C36" s="97"/>
      <c r="D36" s="97"/>
      <c r="E36" s="97"/>
      <c r="F36" s="97"/>
      <c r="G36" s="97"/>
      <c r="H36" s="190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</row>
    <row r="37" spans="1:85" x14ac:dyDescent="0.3">
      <c r="A37" s="23" t="s">
        <v>258</v>
      </c>
      <c r="B37" s="23"/>
      <c r="C37" s="23"/>
      <c r="D37" s="23"/>
      <c r="E37" s="23"/>
      <c r="F37" s="23"/>
      <c r="G37" s="23"/>
      <c r="H37" s="11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</row>
    <row r="38" spans="1:85" x14ac:dyDescent="0.3">
      <c r="A38" s="26" t="s">
        <v>259</v>
      </c>
      <c r="B38" s="27">
        <f>_xlfn.XLOOKUP(DATE(B$32,12,1),$B$4:$CG$4,$B$13:$CG$13)</f>
        <v>0</v>
      </c>
      <c r="C38" s="27">
        <f t="shared" ref="C38:H38" si="16">_xlfn.XLOOKUP(DATE(C$32,12,1),$B$4:$CG$4,$B$13:$CG$13)</f>
        <v>0</v>
      </c>
      <c r="D38" s="27">
        <f t="shared" si="16"/>
        <v>0</v>
      </c>
      <c r="E38" s="27">
        <f t="shared" si="16"/>
        <v>9789.9454178497635</v>
      </c>
      <c r="F38" s="27">
        <f t="shared" si="16"/>
        <v>10772.25575262918</v>
      </c>
      <c r="G38" s="27">
        <f t="shared" si="16"/>
        <v>11853.129823224237</v>
      </c>
      <c r="H38" s="113">
        <f t="shared" si="16"/>
        <v>13042.457386134452</v>
      </c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</row>
    <row r="39" spans="1:85" x14ac:dyDescent="0.3">
      <c r="A39" s="26" t="s">
        <v>33</v>
      </c>
      <c r="B39" s="29">
        <f>_xlfn.XLOOKUP(DATE(B$32,12,1),$B$4:$CG$4,$B$14:$CG$14)</f>
        <v>13878237.35</v>
      </c>
      <c r="C39" s="29">
        <f t="shared" ref="C39:H39" si="17">_xlfn.XLOOKUP(DATE(C$32,12,1),$B$4:$CG$4,$B$14:$CG$14)</f>
        <v>17914006.439999998</v>
      </c>
      <c r="D39" s="29">
        <f t="shared" si="17"/>
        <v>20964418.640000001</v>
      </c>
      <c r="E39" s="29">
        <f t="shared" si="17"/>
        <v>5059310.2538294801</v>
      </c>
      <c r="F39" s="29">
        <f t="shared" si="17"/>
        <v>5566954.8358034361</v>
      </c>
      <c r="G39" s="29">
        <f t="shared" si="17"/>
        <v>6125535.8120047376</v>
      </c>
      <c r="H39" s="114">
        <f t="shared" si="17"/>
        <v>6740164.0736927679</v>
      </c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</row>
    <row r="40" spans="1:85" x14ac:dyDescent="0.3">
      <c r="A40" s="26"/>
      <c r="B40" s="97"/>
      <c r="C40" s="97"/>
      <c r="D40" s="97"/>
      <c r="E40" s="97"/>
      <c r="F40" s="97"/>
      <c r="G40" s="97"/>
      <c r="H40" s="190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</row>
    <row r="41" spans="1:85" x14ac:dyDescent="0.3">
      <c r="A41" s="23" t="s">
        <v>260</v>
      </c>
      <c r="B41" s="23"/>
      <c r="C41" s="23"/>
      <c r="D41" s="23"/>
      <c r="E41" s="23"/>
      <c r="F41" s="23"/>
      <c r="G41" s="23"/>
      <c r="H41" s="11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</row>
    <row r="42" spans="1:85" x14ac:dyDescent="0.3">
      <c r="A42" s="26" t="s">
        <v>260</v>
      </c>
      <c r="B42" s="27">
        <f>B35-B38-B39</f>
        <v>-12944690.98</v>
      </c>
      <c r="C42" s="27">
        <f t="shared" ref="C42:H42" si="18">C35-C38-C39</f>
        <v>-16988746.879999999</v>
      </c>
      <c r="D42" s="27">
        <f t="shared" si="18"/>
        <v>-19877602.370000001</v>
      </c>
      <c r="E42" s="27">
        <f t="shared" si="18"/>
        <v>-4120479.5266543026</v>
      </c>
      <c r="F42" s="27">
        <f t="shared" si="18"/>
        <v>-4533923.0598429209</v>
      </c>
      <c r="G42" s="27">
        <f t="shared" si="18"/>
        <v>-4988850.9770770734</v>
      </c>
      <c r="H42" s="113">
        <f t="shared" si="18"/>
        <v>-5489425.7672615089</v>
      </c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</row>
    <row r="43" spans="1:85" x14ac:dyDescent="0.3">
      <c r="A43" s="26"/>
      <c r="B43" s="97"/>
      <c r="C43" s="97"/>
      <c r="D43" s="97"/>
      <c r="E43" s="97"/>
      <c r="F43" s="97"/>
      <c r="G43" s="97"/>
      <c r="H43" s="190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7"/>
    </row>
    <row r="44" spans="1:85" x14ac:dyDescent="0.3">
      <c r="A44" s="23" t="s">
        <v>261</v>
      </c>
      <c r="B44" s="23"/>
      <c r="C44" s="23"/>
      <c r="D44" s="23"/>
      <c r="E44" s="23"/>
      <c r="F44" s="23"/>
      <c r="G44" s="23"/>
      <c r="H44" s="11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7"/>
    </row>
    <row r="45" spans="1:85" x14ac:dyDescent="0.3">
      <c r="A45" s="26" t="s">
        <v>262</v>
      </c>
      <c r="B45" s="27">
        <f>_xlfn.XLOOKUP(DATE(B$32,1,1),$B$4:$CG$4,$B$20:$CG$20)</f>
        <v>10000000</v>
      </c>
      <c r="C45" s="27">
        <f t="shared" ref="C45:H45" si="19">_xlfn.XLOOKUP(DATE(C$32,1,1),$B$4:$CG$4,$B$20:$CG$20)</f>
        <v>-12902995.510000013</v>
      </c>
      <c r="D45" s="27">
        <f t="shared" si="19"/>
        <v>-35484382.360000029</v>
      </c>
      <c r="E45" s="27">
        <f t="shared" si="19"/>
        <v>-62905551.120000057</v>
      </c>
      <c r="F45" s="27">
        <f t="shared" si="19"/>
        <v>-106697898.88465813</v>
      </c>
      <c r="G45" s="27">
        <f t="shared" si="19"/>
        <v>-146110860.58227292</v>
      </c>
      <c r="H45" s="113">
        <f t="shared" si="19"/>
        <v>-192235656.52121729</v>
      </c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7"/>
    </row>
    <row r="46" spans="1:85" x14ac:dyDescent="0.3">
      <c r="A46" s="26" t="s">
        <v>2</v>
      </c>
      <c r="B46" s="29">
        <f>SUMIFS($B$22:$CG$22,$B$4:$CG$4,"&gt;="&amp;DATE(B$32,1,1),$B$4:$CG$4,"&lt;="&amp;DATE(B$32,12,1))</f>
        <v>43455105.019999996</v>
      </c>
      <c r="C46" s="29">
        <f t="shared" ref="C46:H46" si="20">SUMIFS($B$22:$CG$22,$B$4:$CG$4,"&gt;="&amp;DATE(C$32,1,1),$B$4:$CG$4,"&lt;="&amp;DATE(C$32,12,1))</f>
        <v>54639238.299999982</v>
      </c>
      <c r="D46" s="29">
        <f t="shared" si="20"/>
        <v>63485822.749999978</v>
      </c>
      <c r="E46" s="29">
        <f t="shared" si="20"/>
        <v>53379766.238477007</v>
      </c>
      <c r="F46" s="29">
        <f t="shared" si="20"/>
        <v>65562297.761936262</v>
      </c>
      <c r="G46" s="29">
        <f t="shared" si="20"/>
        <v>72140733.07639797</v>
      </c>
      <c r="H46" s="114">
        <f t="shared" si="20"/>
        <v>79379239.997008964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97"/>
      <c r="CG46" s="97"/>
    </row>
    <row r="47" spans="1:85" x14ac:dyDescent="0.3">
      <c r="A47" s="26" t="s">
        <v>141</v>
      </c>
      <c r="B47" s="27">
        <f>SUMIFS($B$23:$CG$23,$B$4:$CG$4,"&gt;="&amp;DATE(B$32,1,1),$B$4:$CG$4,"&lt;="&amp;DATE(B$32,12,1))</f>
        <v>6036027.5399999991</v>
      </c>
      <c r="C47" s="27">
        <f t="shared" ref="C47:H47" si="21">SUMIFS($B$23:$CG$23,$B$4:$CG$4,"&gt;="&amp;DATE(C$32,1,1),$B$4:$CG$4,"&lt;="&amp;DATE(C$32,12,1))</f>
        <v>5788695.080000001</v>
      </c>
      <c r="D47" s="27">
        <f t="shared" si="21"/>
        <v>6754386.4900000002</v>
      </c>
      <c r="E47" s="27">
        <f t="shared" si="21"/>
        <v>3874844.8004309121</v>
      </c>
      <c r="F47" s="27">
        <f t="shared" si="21"/>
        <v>876711.97379063035</v>
      </c>
      <c r="G47" s="27">
        <f t="shared" si="21"/>
        <v>964680.10800608655</v>
      </c>
      <c r="H47" s="113">
        <f t="shared" si="21"/>
        <v>1061474.8498973681</v>
      </c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7"/>
    </row>
    <row r="48" spans="1:85" x14ac:dyDescent="0.3">
      <c r="A48" s="26" t="s">
        <v>263</v>
      </c>
      <c r="B48" s="29">
        <f>SUMIFS($B$24:$CG$24,$B$4:$CG$4,"&gt;="&amp;DATE(B$32,1,1),$B$4:$CG$4,"&lt;="&amp;DATE(B$32,12,1))</f>
        <v>60322072.990000002</v>
      </c>
      <c r="C48" s="29">
        <f t="shared" ref="C48:H48" si="22">SUMIFS($B$24:$CG$24,$B$4:$CG$4,"&gt;="&amp;DATE(C$32,1,1),$B$4:$CG$4,"&lt;="&amp;DATE(C$32,12,1))</f>
        <v>71431930.069999993</v>
      </c>
      <c r="D48" s="29">
        <f t="shared" si="22"/>
        <v>84152605.019999996</v>
      </c>
      <c r="E48" s="29">
        <f t="shared" si="22"/>
        <v>93297269.202704147</v>
      </c>
      <c r="F48" s="29">
        <f t="shared" si="22"/>
        <v>104098547.48576042</v>
      </c>
      <c r="G48" s="29">
        <f t="shared" si="22"/>
        <v>117300848.90733631</v>
      </c>
      <c r="H48" s="114">
        <f t="shared" si="22"/>
        <v>132177532.60451484</v>
      </c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7"/>
    </row>
    <row r="49" spans="1:85" x14ac:dyDescent="0.3">
      <c r="A49" s="26" t="s">
        <v>264</v>
      </c>
      <c r="B49" s="27">
        <f>B46-B47-B48</f>
        <v>-22902995.510000005</v>
      </c>
      <c r="C49" s="27">
        <f t="shared" ref="C49:H49" si="23">C46-C47-C48</f>
        <v>-22581386.850000009</v>
      </c>
      <c r="D49" s="27">
        <f t="shared" si="23"/>
        <v>-27421168.76000002</v>
      </c>
      <c r="E49" s="27">
        <f t="shared" si="23"/>
        <v>-43792347.764658049</v>
      </c>
      <c r="F49" s="27">
        <f t="shared" si="23"/>
        <v>-39412961.697614789</v>
      </c>
      <c r="G49" s="27">
        <f t="shared" si="23"/>
        <v>-46124795.938944429</v>
      </c>
      <c r="H49" s="113">
        <f t="shared" si="23"/>
        <v>-53859767.457403243</v>
      </c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97"/>
      <c r="CF49" s="97"/>
      <c r="CG49" s="97"/>
    </row>
    <row r="50" spans="1:85" x14ac:dyDescent="0.3">
      <c r="A50" s="26" t="s">
        <v>265</v>
      </c>
      <c r="B50" s="29">
        <f>_xlfn.XLOOKUP(DATE(B$32,12,1),$B$4:$CG$4,$B$26:$CG$26)</f>
        <v>-12902995.510000013</v>
      </c>
      <c r="C50" s="29">
        <f t="shared" ref="C50:H50" si="24">_xlfn.XLOOKUP(DATE(C$32,12,1),$B$4:$CG$4,$B$26:$CG$26)</f>
        <v>-35484382.360000029</v>
      </c>
      <c r="D50" s="29">
        <f t="shared" si="24"/>
        <v>-62905551.120000057</v>
      </c>
      <c r="E50" s="29">
        <f t="shared" si="24"/>
        <v>-106697898.88465813</v>
      </c>
      <c r="F50" s="29">
        <f t="shared" si="24"/>
        <v>-146110860.58227292</v>
      </c>
      <c r="G50" s="29">
        <f t="shared" si="24"/>
        <v>-192235656.52121729</v>
      </c>
      <c r="H50" s="114">
        <f t="shared" si="24"/>
        <v>-246095423.97862059</v>
      </c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/>
      <c r="CE50" s="97"/>
      <c r="CF50" s="97"/>
      <c r="CG50" s="97"/>
    </row>
    <row r="51" spans="1:85" x14ac:dyDescent="0.3">
      <c r="A51" s="26"/>
      <c r="B51" s="97"/>
      <c r="C51" s="97"/>
      <c r="D51" s="97"/>
      <c r="E51" s="97"/>
      <c r="F51" s="97"/>
      <c r="G51" s="97"/>
      <c r="H51" s="190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</row>
    <row r="52" spans="1:85" x14ac:dyDescent="0.3">
      <c r="A52" s="23" t="s">
        <v>266</v>
      </c>
      <c r="B52" s="23"/>
      <c r="C52" s="23"/>
      <c r="D52" s="23"/>
      <c r="E52" s="23"/>
      <c r="F52" s="23"/>
      <c r="G52" s="23"/>
      <c r="H52" s="11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/>
      <c r="BY52" s="97"/>
      <c r="BZ52" s="97"/>
      <c r="CA52" s="97"/>
      <c r="CB52" s="97"/>
      <c r="CC52" s="97"/>
      <c r="CD52" s="97"/>
      <c r="CE52" s="97"/>
      <c r="CF52" s="97"/>
      <c r="CG52" s="97"/>
    </row>
    <row r="53" spans="1:85" x14ac:dyDescent="0.3">
      <c r="A53" s="26" t="s">
        <v>267</v>
      </c>
      <c r="B53" s="27">
        <f>B45+B49-B50</f>
        <v>0</v>
      </c>
      <c r="C53" s="27">
        <f t="shared" ref="C53:H53" si="25">C45+C49-C50</f>
        <v>0</v>
      </c>
      <c r="D53" s="27">
        <f t="shared" si="25"/>
        <v>0</v>
      </c>
      <c r="E53" s="27">
        <f t="shared" si="25"/>
        <v>0</v>
      </c>
      <c r="F53" s="27">
        <f t="shared" si="25"/>
        <v>0</v>
      </c>
      <c r="G53" s="27">
        <f t="shared" si="25"/>
        <v>0</v>
      </c>
      <c r="H53" s="113">
        <f t="shared" si="25"/>
        <v>0</v>
      </c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</row>
    <row r="54" spans="1:85" x14ac:dyDescent="0.3">
      <c r="A54" s="26" t="s">
        <v>272</v>
      </c>
      <c r="B54" s="29">
        <f>0</f>
        <v>0</v>
      </c>
      <c r="C54" s="29">
        <f>C45-B50</f>
        <v>0</v>
      </c>
      <c r="D54" s="29">
        <f t="shared" ref="D54:H54" si="26">D45-C50</f>
        <v>0</v>
      </c>
      <c r="E54" s="29">
        <f t="shared" si="26"/>
        <v>0</v>
      </c>
      <c r="F54" s="29">
        <f t="shared" si="26"/>
        <v>0</v>
      </c>
      <c r="G54" s="29">
        <f t="shared" si="26"/>
        <v>0</v>
      </c>
      <c r="H54" s="114">
        <f t="shared" si="26"/>
        <v>0</v>
      </c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/>
      <c r="BY54" s="97"/>
      <c r="BZ54" s="97"/>
      <c r="CA54" s="97"/>
      <c r="CB54" s="97"/>
      <c r="CC54" s="97"/>
      <c r="CD54" s="97"/>
      <c r="CE54" s="97"/>
      <c r="CF54" s="97"/>
      <c r="CG54" s="97"/>
    </row>
  </sheetData>
  <mergeCells count="2">
    <mergeCell ref="A1:CG1"/>
    <mergeCell ref="A2:CG2"/>
  </mergeCells>
  <conditionalFormatting sqref="A5:XFD5">
    <cfRule type="expression" dxfId="142" priority="17">
      <formula>A5="Forecast"</formula>
    </cfRule>
    <cfRule type="expression" dxfId="141" priority="18">
      <formula>A5="Actual"</formula>
    </cfRule>
  </conditionalFormatting>
  <conditionalFormatting sqref="B31:H33">
    <cfRule type="cellIs" dxfId="140" priority="7" operator="lessThan">
      <formula>0</formula>
    </cfRule>
  </conditionalFormatting>
  <conditionalFormatting sqref="B35:H35">
    <cfRule type="cellIs" dxfId="139" priority="6" operator="lessThan">
      <formula>0</formula>
    </cfRule>
  </conditionalFormatting>
  <conditionalFormatting sqref="B38:H39">
    <cfRule type="cellIs" dxfId="138" priority="4" operator="lessThan">
      <formula>0</formula>
    </cfRule>
  </conditionalFormatting>
  <conditionalFormatting sqref="B42:H42">
    <cfRule type="cellIs" dxfId="137" priority="5" operator="lessThan">
      <formula>0</formula>
    </cfRule>
  </conditionalFormatting>
  <conditionalFormatting sqref="B45:H50">
    <cfRule type="cellIs" dxfId="136" priority="3" operator="lessThan">
      <formula>0</formula>
    </cfRule>
  </conditionalFormatting>
  <conditionalFormatting sqref="B53:H54">
    <cfRule type="cellIs" dxfId="135" priority="2" operator="lessThan">
      <formula>0</formula>
    </cfRule>
  </conditionalFormatting>
  <conditionalFormatting sqref="B1:CG2">
    <cfRule type="cellIs" dxfId="134" priority="19" operator="lessThan">
      <formula>0</formula>
    </cfRule>
  </conditionalFormatting>
  <conditionalFormatting sqref="B4:CG7">
    <cfRule type="cellIs" dxfId="133" priority="1" operator="lessThan">
      <formula>0</formula>
    </cfRule>
  </conditionalFormatting>
  <conditionalFormatting sqref="B9:CG10">
    <cfRule type="cellIs" dxfId="132" priority="15" operator="lessThan">
      <formula>0</formula>
    </cfRule>
  </conditionalFormatting>
  <conditionalFormatting sqref="B12:CG14">
    <cfRule type="cellIs" dxfId="131" priority="12" operator="lessThan">
      <formula>0</formula>
    </cfRule>
  </conditionalFormatting>
  <conditionalFormatting sqref="B16:CG17">
    <cfRule type="cellIs" dxfId="130" priority="11" operator="lessThan">
      <formula>0</formula>
    </cfRule>
  </conditionalFormatting>
  <conditionalFormatting sqref="B19:CG26">
    <cfRule type="cellIs" dxfId="129" priority="10" operator="lessThan">
      <formula>0</formula>
    </cfRule>
  </conditionalFormatting>
  <conditionalFormatting sqref="B28:CG30">
    <cfRule type="cellIs" dxfId="128" priority="9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3744-C4AF-42CA-B0DE-8F2E77B9D48D}">
  <dimension ref="A1:CG47"/>
  <sheetViews>
    <sheetView showGridLines="0" zoomScaleNormal="100" workbookViewId="0">
      <pane ySplit="8" topLeftCell="A9" activePane="bottomLeft" state="frozen"/>
      <selection pane="bottomLeft" activeCell="B29" sqref="B29:B30"/>
    </sheetView>
  </sheetViews>
  <sheetFormatPr defaultRowHeight="14.4" x14ac:dyDescent="0.3"/>
  <cols>
    <col min="1" max="1" width="26.6640625" bestFit="1" customWidth="1"/>
    <col min="2" max="3" width="12" bestFit="1" customWidth="1"/>
    <col min="4" max="8" width="13.109375" bestFit="1" customWidth="1"/>
    <col min="9" max="11" width="11" bestFit="1" customWidth="1"/>
    <col min="12" max="46" width="12" bestFit="1" customWidth="1"/>
    <col min="47" max="85" width="13.109375" bestFit="1" customWidth="1"/>
  </cols>
  <sheetData>
    <row r="1" spans="1:85" ht="28.2" customHeight="1" x14ac:dyDescent="0.4">
      <c r="A1" s="121" t="s">
        <v>273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2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</row>
    <row r="2" spans="1:85" x14ac:dyDescent="0.3">
      <c r="A2" s="123" t="str">
        <f>"Scenario: "&amp;'02_Control'!$B$14&amp;" | Currency: "&amp;'02_Control'!$B$12&amp;" | Units: £ actual"</f>
        <v>Scenario: Base | Currency: GBP | Units: £ actual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4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</row>
    <row r="3" spans="1:85" s="11" customFormat="1" x14ac:dyDescent="0.3">
      <c r="A3" s="111" t="s">
        <v>279</v>
      </c>
      <c r="B3" s="112"/>
      <c r="C3" s="112"/>
      <c r="D3" s="112"/>
      <c r="E3" s="112"/>
      <c r="F3" s="112"/>
      <c r="G3" s="112"/>
      <c r="H3"/>
      <c r="I3"/>
      <c r="J3"/>
      <c r="K3"/>
      <c r="L3"/>
      <c r="M3"/>
      <c r="N3"/>
      <c r="O3"/>
      <c r="P3"/>
      <c r="Q3" s="198"/>
      <c r="R3" s="198"/>
      <c r="S3" s="198"/>
      <c r="T3" s="198"/>
      <c r="U3" s="198"/>
      <c r="V3" s="198"/>
      <c r="W3" s="198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1"/>
      <c r="BW3" s="191"/>
      <c r="BX3" s="191"/>
      <c r="BY3" s="191"/>
      <c r="BZ3" s="191"/>
      <c r="CA3" s="191"/>
      <c r="CB3" s="191"/>
      <c r="CC3" s="191"/>
      <c r="CD3" s="191"/>
      <c r="CE3" s="191"/>
      <c r="CF3" s="191"/>
      <c r="CG3" s="191"/>
    </row>
    <row r="4" spans="1:85" x14ac:dyDescent="0.3">
      <c r="A4" s="186"/>
      <c r="B4" s="18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</row>
    <row r="5" spans="1:85" x14ac:dyDescent="0.3">
      <c r="A5" s="45" t="s">
        <v>246</v>
      </c>
      <c r="B5" s="46">
        <f>'05_Monthly_Model'!B4</f>
        <v>44927</v>
      </c>
      <c r="C5" s="46">
        <f>'05_Monthly_Model'!C4</f>
        <v>44958</v>
      </c>
      <c r="D5" s="46">
        <f>'05_Monthly_Model'!D4</f>
        <v>44986</v>
      </c>
      <c r="E5" s="46">
        <f>'05_Monthly_Model'!E4</f>
        <v>45017</v>
      </c>
      <c r="F5" s="46">
        <f>'05_Monthly_Model'!F4</f>
        <v>45047</v>
      </c>
      <c r="G5" s="46">
        <f>'05_Monthly_Model'!G4</f>
        <v>45078</v>
      </c>
      <c r="H5" s="46">
        <f>'05_Monthly_Model'!H4</f>
        <v>45108</v>
      </c>
      <c r="I5" s="46">
        <f>'05_Monthly_Model'!I4</f>
        <v>45139</v>
      </c>
      <c r="J5" s="46">
        <f>'05_Monthly_Model'!J4</f>
        <v>45170</v>
      </c>
      <c r="K5" s="46">
        <f>'05_Monthly_Model'!K4</f>
        <v>45200</v>
      </c>
      <c r="L5" s="46">
        <f>'05_Monthly_Model'!L4</f>
        <v>45231</v>
      </c>
      <c r="M5" s="46">
        <f>'05_Monthly_Model'!M4</f>
        <v>45261</v>
      </c>
      <c r="N5" s="46">
        <f>'05_Monthly_Model'!N4</f>
        <v>45292</v>
      </c>
      <c r="O5" s="46">
        <f>'05_Monthly_Model'!O4</f>
        <v>45323</v>
      </c>
      <c r="P5" s="46">
        <f>'05_Monthly_Model'!P4</f>
        <v>45352</v>
      </c>
      <c r="Q5" s="46">
        <f>'05_Monthly_Model'!Q4</f>
        <v>45383</v>
      </c>
      <c r="R5" s="46">
        <f>'05_Monthly_Model'!R4</f>
        <v>45413</v>
      </c>
      <c r="S5" s="46">
        <f>'05_Monthly_Model'!S4</f>
        <v>45444</v>
      </c>
      <c r="T5" s="46">
        <f>'05_Monthly_Model'!T4</f>
        <v>45474</v>
      </c>
      <c r="U5" s="46">
        <f>'05_Monthly_Model'!U4</f>
        <v>45505</v>
      </c>
      <c r="V5" s="46">
        <f>'05_Monthly_Model'!V4</f>
        <v>45536</v>
      </c>
      <c r="W5" s="46">
        <f>'05_Monthly_Model'!W4</f>
        <v>45566</v>
      </c>
      <c r="X5" s="46">
        <f>'05_Monthly_Model'!X4</f>
        <v>45597</v>
      </c>
      <c r="Y5" s="46">
        <f>'05_Monthly_Model'!Y4</f>
        <v>45627</v>
      </c>
      <c r="Z5" s="46">
        <f>'05_Monthly_Model'!Z4</f>
        <v>45658</v>
      </c>
      <c r="AA5" s="46">
        <f>'05_Monthly_Model'!AA4</f>
        <v>45689</v>
      </c>
      <c r="AB5" s="46">
        <f>'05_Monthly_Model'!AB4</f>
        <v>45717</v>
      </c>
      <c r="AC5" s="46">
        <f>'05_Monthly_Model'!AC4</f>
        <v>45748</v>
      </c>
      <c r="AD5" s="46">
        <f>'05_Monthly_Model'!AD4</f>
        <v>45778</v>
      </c>
      <c r="AE5" s="46">
        <f>'05_Monthly_Model'!AE4</f>
        <v>45809</v>
      </c>
      <c r="AF5" s="46">
        <f>'05_Monthly_Model'!AF4</f>
        <v>45839</v>
      </c>
      <c r="AG5" s="46">
        <f>'05_Monthly_Model'!AG4</f>
        <v>45870</v>
      </c>
      <c r="AH5" s="46">
        <f>'05_Monthly_Model'!AH4</f>
        <v>45901</v>
      </c>
      <c r="AI5" s="46">
        <f>'05_Monthly_Model'!AI4</f>
        <v>45931</v>
      </c>
      <c r="AJ5" s="46">
        <f>'05_Monthly_Model'!AJ4</f>
        <v>45962</v>
      </c>
      <c r="AK5" s="46">
        <f>'05_Monthly_Model'!AK4</f>
        <v>45992</v>
      </c>
      <c r="AL5" s="46">
        <f>'05_Monthly_Model'!AL4</f>
        <v>46023</v>
      </c>
      <c r="AM5" s="46">
        <f>'05_Monthly_Model'!AM4</f>
        <v>46054</v>
      </c>
      <c r="AN5" s="46">
        <f>'05_Monthly_Model'!AN4</f>
        <v>46082</v>
      </c>
      <c r="AO5" s="46">
        <f>'05_Monthly_Model'!AO4</f>
        <v>46113</v>
      </c>
      <c r="AP5" s="46">
        <f>'05_Monthly_Model'!AP4</f>
        <v>46143</v>
      </c>
      <c r="AQ5" s="46">
        <f>'05_Monthly_Model'!AQ4</f>
        <v>46174</v>
      </c>
      <c r="AR5" s="46">
        <f>'05_Monthly_Model'!AR4</f>
        <v>46204</v>
      </c>
      <c r="AS5" s="46">
        <f>'05_Monthly_Model'!AS4</f>
        <v>46235</v>
      </c>
      <c r="AT5" s="46">
        <f>'05_Monthly_Model'!AT4</f>
        <v>46266</v>
      </c>
      <c r="AU5" s="46">
        <f>'05_Monthly_Model'!AU4</f>
        <v>46296</v>
      </c>
      <c r="AV5" s="46">
        <f>'05_Monthly_Model'!AV4</f>
        <v>46327</v>
      </c>
      <c r="AW5" s="46">
        <f>'05_Monthly_Model'!AW4</f>
        <v>46357</v>
      </c>
      <c r="AX5" s="46">
        <f>'05_Monthly_Model'!AX4</f>
        <v>46388</v>
      </c>
      <c r="AY5" s="46">
        <f>'05_Monthly_Model'!AY4</f>
        <v>46419</v>
      </c>
      <c r="AZ5" s="46">
        <f>'05_Monthly_Model'!AZ4</f>
        <v>46447</v>
      </c>
      <c r="BA5" s="46">
        <f>'05_Monthly_Model'!BA4</f>
        <v>46478</v>
      </c>
      <c r="BB5" s="46">
        <f>'05_Monthly_Model'!BB4</f>
        <v>46508</v>
      </c>
      <c r="BC5" s="46">
        <f>'05_Monthly_Model'!BC4</f>
        <v>46539</v>
      </c>
      <c r="BD5" s="46">
        <f>'05_Monthly_Model'!BD4</f>
        <v>46569</v>
      </c>
      <c r="BE5" s="46">
        <f>'05_Monthly_Model'!BE4</f>
        <v>46600</v>
      </c>
      <c r="BF5" s="46">
        <f>'05_Monthly_Model'!BF4</f>
        <v>46631</v>
      </c>
      <c r="BG5" s="46">
        <f>'05_Monthly_Model'!BG4</f>
        <v>46661</v>
      </c>
      <c r="BH5" s="46">
        <f>'05_Monthly_Model'!BH4</f>
        <v>46692</v>
      </c>
      <c r="BI5" s="46">
        <f>'05_Monthly_Model'!BI4</f>
        <v>46722</v>
      </c>
      <c r="BJ5" s="46">
        <f>'05_Monthly_Model'!BJ4</f>
        <v>46753</v>
      </c>
      <c r="BK5" s="46">
        <f>'05_Monthly_Model'!BK4</f>
        <v>46784</v>
      </c>
      <c r="BL5" s="46">
        <f>'05_Monthly_Model'!BL4</f>
        <v>46813</v>
      </c>
      <c r="BM5" s="46">
        <f>'05_Monthly_Model'!BM4</f>
        <v>46844</v>
      </c>
      <c r="BN5" s="46">
        <f>'05_Monthly_Model'!BN4</f>
        <v>46874</v>
      </c>
      <c r="BO5" s="46">
        <f>'05_Monthly_Model'!BO4</f>
        <v>46905</v>
      </c>
      <c r="BP5" s="46">
        <f>'05_Monthly_Model'!BP4</f>
        <v>46935</v>
      </c>
      <c r="BQ5" s="46">
        <f>'05_Monthly_Model'!BQ4</f>
        <v>46966</v>
      </c>
      <c r="BR5" s="46">
        <f>'05_Monthly_Model'!BR4</f>
        <v>46997</v>
      </c>
      <c r="BS5" s="46">
        <f>'05_Monthly_Model'!BS4</f>
        <v>47027</v>
      </c>
      <c r="BT5" s="46">
        <f>'05_Monthly_Model'!BT4</f>
        <v>47058</v>
      </c>
      <c r="BU5" s="46">
        <f>'05_Monthly_Model'!BU4</f>
        <v>47088</v>
      </c>
      <c r="BV5" s="46">
        <f>'05_Monthly_Model'!BV4</f>
        <v>47119</v>
      </c>
      <c r="BW5" s="46">
        <f>'05_Monthly_Model'!BW4</f>
        <v>47150</v>
      </c>
      <c r="BX5" s="46">
        <f>'05_Monthly_Model'!BX4</f>
        <v>47178</v>
      </c>
      <c r="BY5" s="46">
        <f>'05_Monthly_Model'!BY4</f>
        <v>47209</v>
      </c>
      <c r="BZ5" s="46">
        <f>'05_Monthly_Model'!BZ4</f>
        <v>47239</v>
      </c>
      <c r="CA5" s="46">
        <f>'05_Monthly_Model'!CA4</f>
        <v>47270</v>
      </c>
      <c r="CB5" s="46">
        <f>'05_Monthly_Model'!CB4</f>
        <v>47300</v>
      </c>
      <c r="CC5" s="46">
        <f>'05_Monthly_Model'!CC4</f>
        <v>47331</v>
      </c>
      <c r="CD5" s="46">
        <f>'05_Monthly_Model'!CD4</f>
        <v>47362</v>
      </c>
      <c r="CE5" s="46">
        <f>'05_Monthly_Model'!CE4</f>
        <v>47392</v>
      </c>
      <c r="CF5" s="46">
        <f>'05_Monthly_Model'!CF4</f>
        <v>47423</v>
      </c>
      <c r="CG5" s="46">
        <f>'05_Monthly_Model'!CG4</f>
        <v>47453</v>
      </c>
    </row>
    <row r="6" spans="1:85" x14ac:dyDescent="0.3">
      <c r="A6" s="16" t="s">
        <v>22</v>
      </c>
      <c r="B6" s="17" t="str">
        <f>'05_Monthly_Model'!B5</f>
        <v>Actual</v>
      </c>
      <c r="C6" s="17" t="str">
        <f>'05_Monthly_Model'!C5</f>
        <v>Actual</v>
      </c>
      <c r="D6" s="17" t="str">
        <f>'05_Monthly_Model'!D5</f>
        <v>Actual</v>
      </c>
      <c r="E6" s="17" t="str">
        <f>'05_Monthly_Model'!E5</f>
        <v>Actual</v>
      </c>
      <c r="F6" s="17" t="str">
        <f>'05_Monthly_Model'!F5</f>
        <v>Actual</v>
      </c>
      <c r="G6" s="17" t="str">
        <f>'05_Monthly_Model'!G5</f>
        <v>Actual</v>
      </c>
      <c r="H6" s="17" t="str">
        <f>'05_Monthly_Model'!H5</f>
        <v>Actual</v>
      </c>
      <c r="I6" s="17" t="str">
        <f>'05_Monthly_Model'!I5</f>
        <v>Actual</v>
      </c>
      <c r="J6" s="17" t="str">
        <f>'05_Monthly_Model'!J5</f>
        <v>Actual</v>
      </c>
      <c r="K6" s="17" t="str">
        <f>'05_Monthly_Model'!K5</f>
        <v>Actual</v>
      </c>
      <c r="L6" s="17" t="str">
        <f>'05_Monthly_Model'!L5</f>
        <v>Actual</v>
      </c>
      <c r="M6" s="17" t="str">
        <f>'05_Monthly_Model'!M5</f>
        <v>Actual</v>
      </c>
      <c r="N6" s="17" t="str">
        <f>'05_Monthly_Model'!N5</f>
        <v>Actual</v>
      </c>
      <c r="O6" s="17" t="str">
        <f>'05_Monthly_Model'!O5</f>
        <v>Actual</v>
      </c>
      <c r="P6" s="17" t="str">
        <f>'05_Monthly_Model'!P5</f>
        <v>Actual</v>
      </c>
      <c r="Q6" s="17" t="str">
        <f>'05_Monthly_Model'!Q5</f>
        <v>Actual</v>
      </c>
      <c r="R6" s="17" t="str">
        <f>'05_Monthly_Model'!R5</f>
        <v>Actual</v>
      </c>
      <c r="S6" s="17" t="str">
        <f>'05_Monthly_Model'!S5</f>
        <v>Actual</v>
      </c>
      <c r="T6" s="17" t="str">
        <f>'05_Monthly_Model'!T5</f>
        <v>Actual</v>
      </c>
      <c r="U6" s="17" t="str">
        <f>'05_Monthly_Model'!U5</f>
        <v>Actual</v>
      </c>
      <c r="V6" s="17" t="str">
        <f>'05_Monthly_Model'!V5</f>
        <v>Actual</v>
      </c>
      <c r="W6" s="17" t="str">
        <f>'05_Monthly_Model'!W5</f>
        <v>Actual</v>
      </c>
      <c r="X6" s="17" t="str">
        <f>'05_Monthly_Model'!X5</f>
        <v>Actual</v>
      </c>
      <c r="Y6" s="17" t="str">
        <f>'05_Monthly_Model'!Y5</f>
        <v>Actual</v>
      </c>
      <c r="Z6" s="17" t="str">
        <f>'05_Monthly_Model'!Z5</f>
        <v>Actual</v>
      </c>
      <c r="AA6" s="17" t="str">
        <f>'05_Monthly_Model'!AA5</f>
        <v>Actual</v>
      </c>
      <c r="AB6" s="17" t="str">
        <f>'05_Monthly_Model'!AB5</f>
        <v>Actual</v>
      </c>
      <c r="AC6" s="17" t="str">
        <f>'05_Monthly_Model'!AC5</f>
        <v>Actual</v>
      </c>
      <c r="AD6" s="17" t="str">
        <f>'05_Monthly_Model'!AD5</f>
        <v>Actual</v>
      </c>
      <c r="AE6" s="17" t="str">
        <f>'05_Monthly_Model'!AE5</f>
        <v>Actual</v>
      </c>
      <c r="AF6" s="17" t="str">
        <f>'05_Monthly_Model'!AF5</f>
        <v>Actual</v>
      </c>
      <c r="AG6" s="17" t="str">
        <f>'05_Monthly_Model'!AG5</f>
        <v>Actual</v>
      </c>
      <c r="AH6" s="17" t="str">
        <f>'05_Monthly_Model'!AH5</f>
        <v>Actual</v>
      </c>
      <c r="AI6" s="17" t="str">
        <f>'05_Monthly_Model'!AI5</f>
        <v>Actual</v>
      </c>
      <c r="AJ6" s="17" t="str">
        <f>'05_Monthly_Model'!AJ5</f>
        <v>Actual</v>
      </c>
      <c r="AK6" s="17" t="str">
        <f>'05_Monthly_Model'!AK5</f>
        <v>Actual</v>
      </c>
      <c r="AL6" s="17" t="str">
        <f>'05_Monthly_Model'!AL5</f>
        <v>Actual</v>
      </c>
      <c r="AM6" s="17" t="str">
        <f>'05_Monthly_Model'!AM5</f>
        <v>Actual</v>
      </c>
      <c r="AN6" s="17" t="str">
        <f>'05_Monthly_Model'!AN5</f>
        <v>Actual</v>
      </c>
      <c r="AO6" s="17" t="str">
        <f>'05_Monthly_Model'!AO5</f>
        <v>Actual</v>
      </c>
      <c r="AP6" s="17" t="str">
        <f>'05_Monthly_Model'!AP5</f>
        <v>Actual</v>
      </c>
      <c r="AQ6" s="17" t="str">
        <f>'05_Monthly_Model'!AQ5</f>
        <v>Actual</v>
      </c>
      <c r="AR6" s="17" t="str">
        <f>'05_Monthly_Model'!AR5</f>
        <v>Forecast</v>
      </c>
      <c r="AS6" s="17" t="str">
        <f>'05_Monthly_Model'!AS5</f>
        <v>Forecast</v>
      </c>
      <c r="AT6" s="17" t="str">
        <f>'05_Monthly_Model'!AT5</f>
        <v>Forecast</v>
      </c>
      <c r="AU6" s="17" t="str">
        <f>'05_Monthly_Model'!AU5</f>
        <v>Forecast</v>
      </c>
      <c r="AV6" s="17" t="str">
        <f>'05_Monthly_Model'!AV5</f>
        <v>Forecast</v>
      </c>
      <c r="AW6" s="17" t="str">
        <f>'05_Monthly_Model'!AW5</f>
        <v>Forecast</v>
      </c>
      <c r="AX6" s="17" t="str">
        <f>'05_Monthly_Model'!AX5</f>
        <v>Forecast</v>
      </c>
      <c r="AY6" s="17" t="str">
        <f>'05_Monthly_Model'!AY5</f>
        <v>Forecast</v>
      </c>
      <c r="AZ6" s="17" t="str">
        <f>'05_Monthly_Model'!AZ5</f>
        <v>Forecast</v>
      </c>
      <c r="BA6" s="17" t="str">
        <f>'05_Monthly_Model'!BA5</f>
        <v>Forecast</v>
      </c>
      <c r="BB6" s="17" t="str">
        <f>'05_Monthly_Model'!BB5</f>
        <v>Forecast</v>
      </c>
      <c r="BC6" s="17" t="str">
        <f>'05_Monthly_Model'!BC5</f>
        <v>Forecast</v>
      </c>
      <c r="BD6" s="17" t="str">
        <f>'05_Monthly_Model'!BD5</f>
        <v>Forecast</v>
      </c>
      <c r="BE6" s="17" t="str">
        <f>'05_Monthly_Model'!BE5</f>
        <v>Forecast</v>
      </c>
      <c r="BF6" s="17" t="str">
        <f>'05_Monthly_Model'!BF5</f>
        <v>Forecast</v>
      </c>
      <c r="BG6" s="17" t="str">
        <f>'05_Monthly_Model'!BG5</f>
        <v>Forecast</v>
      </c>
      <c r="BH6" s="17" t="str">
        <f>'05_Monthly_Model'!BH5</f>
        <v>Forecast</v>
      </c>
      <c r="BI6" s="17" t="str">
        <f>'05_Monthly_Model'!BI5</f>
        <v>Forecast</v>
      </c>
      <c r="BJ6" s="17" t="str">
        <f>'05_Monthly_Model'!BJ5</f>
        <v>Forecast</v>
      </c>
      <c r="BK6" s="17" t="str">
        <f>'05_Monthly_Model'!BK5</f>
        <v>Forecast</v>
      </c>
      <c r="BL6" s="17" t="str">
        <f>'05_Monthly_Model'!BL5</f>
        <v>Forecast</v>
      </c>
      <c r="BM6" s="17" t="str">
        <f>'05_Monthly_Model'!BM5</f>
        <v>Forecast</v>
      </c>
      <c r="BN6" s="17" t="str">
        <f>'05_Monthly_Model'!BN5</f>
        <v>Forecast</v>
      </c>
      <c r="BO6" s="17" t="str">
        <f>'05_Monthly_Model'!BO5</f>
        <v>Forecast</v>
      </c>
      <c r="BP6" s="17" t="str">
        <f>'05_Monthly_Model'!BP5</f>
        <v>Forecast</v>
      </c>
      <c r="BQ6" s="17" t="str">
        <f>'05_Monthly_Model'!BQ5</f>
        <v>Forecast</v>
      </c>
      <c r="BR6" s="17" t="str">
        <f>'05_Monthly_Model'!BR5</f>
        <v>Forecast</v>
      </c>
      <c r="BS6" s="17" t="str">
        <f>'05_Monthly_Model'!BS5</f>
        <v>Forecast</v>
      </c>
      <c r="BT6" s="17" t="str">
        <f>'05_Monthly_Model'!BT5</f>
        <v>Forecast</v>
      </c>
      <c r="BU6" s="17" t="str">
        <f>'05_Monthly_Model'!BU5</f>
        <v>Forecast</v>
      </c>
      <c r="BV6" s="17" t="str">
        <f>'05_Monthly_Model'!BV5</f>
        <v>Forecast</v>
      </c>
      <c r="BW6" s="17" t="str">
        <f>'05_Monthly_Model'!BW5</f>
        <v>Forecast</v>
      </c>
      <c r="BX6" s="17" t="str">
        <f>'05_Monthly_Model'!BX5</f>
        <v>Forecast</v>
      </c>
      <c r="BY6" s="17" t="str">
        <f>'05_Monthly_Model'!BY5</f>
        <v>Forecast</v>
      </c>
      <c r="BZ6" s="17" t="str">
        <f>'05_Monthly_Model'!BZ5</f>
        <v>Forecast</v>
      </c>
      <c r="CA6" s="17" t="str">
        <f>'05_Monthly_Model'!CA5</f>
        <v>Forecast</v>
      </c>
      <c r="CB6" s="17" t="str">
        <f>'05_Monthly_Model'!CB5</f>
        <v>Forecast</v>
      </c>
      <c r="CC6" s="17" t="str">
        <f>'05_Monthly_Model'!CC5</f>
        <v>Forecast</v>
      </c>
      <c r="CD6" s="17" t="str">
        <f>'05_Monthly_Model'!CD5</f>
        <v>Forecast</v>
      </c>
      <c r="CE6" s="17" t="str">
        <f>'05_Monthly_Model'!CE5</f>
        <v>Forecast</v>
      </c>
      <c r="CF6" s="17" t="str">
        <f>'05_Monthly_Model'!CF5</f>
        <v>Forecast</v>
      </c>
      <c r="CG6" s="17" t="str">
        <f>'05_Monthly_Model'!CG5</f>
        <v>Forecast</v>
      </c>
    </row>
    <row r="7" spans="1:85" x14ac:dyDescent="0.3">
      <c r="A7" s="16" t="s">
        <v>129</v>
      </c>
      <c r="B7" s="17">
        <f>YEAR(B5)</f>
        <v>2023</v>
      </c>
      <c r="C7" s="17">
        <f t="shared" ref="C7:BN7" si="0">YEAR(C5)</f>
        <v>2023</v>
      </c>
      <c r="D7" s="17">
        <f t="shared" si="0"/>
        <v>2023</v>
      </c>
      <c r="E7" s="17">
        <f t="shared" si="0"/>
        <v>2023</v>
      </c>
      <c r="F7" s="17">
        <f t="shared" si="0"/>
        <v>2023</v>
      </c>
      <c r="G7" s="17">
        <f t="shared" si="0"/>
        <v>2023</v>
      </c>
      <c r="H7" s="17">
        <f t="shared" si="0"/>
        <v>2023</v>
      </c>
      <c r="I7" s="17">
        <f t="shared" si="0"/>
        <v>2023</v>
      </c>
      <c r="J7" s="17">
        <f t="shared" si="0"/>
        <v>2023</v>
      </c>
      <c r="K7" s="17">
        <f t="shared" si="0"/>
        <v>2023</v>
      </c>
      <c r="L7" s="17">
        <f t="shared" si="0"/>
        <v>2023</v>
      </c>
      <c r="M7" s="17">
        <f t="shared" si="0"/>
        <v>2023</v>
      </c>
      <c r="N7" s="17">
        <f t="shared" si="0"/>
        <v>2024</v>
      </c>
      <c r="O7" s="17">
        <f t="shared" si="0"/>
        <v>2024</v>
      </c>
      <c r="P7" s="17">
        <f t="shared" si="0"/>
        <v>2024</v>
      </c>
      <c r="Q7" s="17">
        <f t="shared" si="0"/>
        <v>2024</v>
      </c>
      <c r="R7" s="17">
        <f t="shared" si="0"/>
        <v>2024</v>
      </c>
      <c r="S7" s="17">
        <f t="shared" si="0"/>
        <v>2024</v>
      </c>
      <c r="T7" s="17">
        <f t="shared" si="0"/>
        <v>2024</v>
      </c>
      <c r="U7" s="17">
        <f t="shared" si="0"/>
        <v>2024</v>
      </c>
      <c r="V7" s="17">
        <f t="shared" si="0"/>
        <v>2024</v>
      </c>
      <c r="W7" s="17">
        <f t="shared" si="0"/>
        <v>2024</v>
      </c>
      <c r="X7" s="17">
        <f t="shared" si="0"/>
        <v>2024</v>
      </c>
      <c r="Y7" s="17">
        <f t="shared" si="0"/>
        <v>2024</v>
      </c>
      <c r="Z7" s="17">
        <f t="shared" si="0"/>
        <v>2025</v>
      </c>
      <c r="AA7" s="17">
        <f t="shared" si="0"/>
        <v>2025</v>
      </c>
      <c r="AB7" s="17">
        <f t="shared" si="0"/>
        <v>2025</v>
      </c>
      <c r="AC7" s="17">
        <f t="shared" si="0"/>
        <v>2025</v>
      </c>
      <c r="AD7" s="17">
        <f t="shared" si="0"/>
        <v>2025</v>
      </c>
      <c r="AE7" s="17">
        <f t="shared" si="0"/>
        <v>2025</v>
      </c>
      <c r="AF7" s="17">
        <f t="shared" si="0"/>
        <v>2025</v>
      </c>
      <c r="AG7" s="17">
        <f t="shared" si="0"/>
        <v>2025</v>
      </c>
      <c r="AH7" s="17">
        <f t="shared" si="0"/>
        <v>2025</v>
      </c>
      <c r="AI7" s="17">
        <f t="shared" si="0"/>
        <v>2025</v>
      </c>
      <c r="AJ7" s="17">
        <f t="shared" si="0"/>
        <v>2025</v>
      </c>
      <c r="AK7" s="17">
        <f t="shared" si="0"/>
        <v>2025</v>
      </c>
      <c r="AL7" s="17">
        <f t="shared" si="0"/>
        <v>2026</v>
      </c>
      <c r="AM7" s="17">
        <f t="shared" si="0"/>
        <v>2026</v>
      </c>
      <c r="AN7" s="17">
        <f t="shared" si="0"/>
        <v>2026</v>
      </c>
      <c r="AO7" s="17">
        <f t="shared" si="0"/>
        <v>2026</v>
      </c>
      <c r="AP7" s="17">
        <f t="shared" si="0"/>
        <v>2026</v>
      </c>
      <c r="AQ7" s="18">
        <f t="shared" si="0"/>
        <v>2026</v>
      </c>
      <c r="AR7" s="17">
        <f t="shared" si="0"/>
        <v>2026</v>
      </c>
      <c r="AS7" s="17">
        <f t="shared" si="0"/>
        <v>2026</v>
      </c>
      <c r="AT7" s="17">
        <f t="shared" si="0"/>
        <v>2026</v>
      </c>
      <c r="AU7" s="17">
        <f t="shared" si="0"/>
        <v>2026</v>
      </c>
      <c r="AV7" s="17">
        <f t="shared" si="0"/>
        <v>2026</v>
      </c>
      <c r="AW7" s="17">
        <f t="shared" si="0"/>
        <v>2026</v>
      </c>
      <c r="AX7" s="17">
        <f t="shared" si="0"/>
        <v>2027</v>
      </c>
      <c r="AY7" s="17">
        <f t="shared" si="0"/>
        <v>2027</v>
      </c>
      <c r="AZ7" s="17">
        <f t="shared" si="0"/>
        <v>2027</v>
      </c>
      <c r="BA7" s="17">
        <f t="shared" si="0"/>
        <v>2027</v>
      </c>
      <c r="BB7" s="17">
        <f t="shared" si="0"/>
        <v>2027</v>
      </c>
      <c r="BC7" s="17">
        <f t="shared" si="0"/>
        <v>2027</v>
      </c>
      <c r="BD7" s="17">
        <f t="shared" si="0"/>
        <v>2027</v>
      </c>
      <c r="BE7" s="17">
        <f t="shared" si="0"/>
        <v>2027</v>
      </c>
      <c r="BF7" s="17">
        <f t="shared" si="0"/>
        <v>2027</v>
      </c>
      <c r="BG7" s="17">
        <f t="shared" si="0"/>
        <v>2027</v>
      </c>
      <c r="BH7" s="17">
        <f t="shared" si="0"/>
        <v>2027</v>
      </c>
      <c r="BI7" s="17">
        <f t="shared" si="0"/>
        <v>2027</v>
      </c>
      <c r="BJ7" s="17">
        <f t="shared" si="0"/>
        <v>2028</v>
      </c>
      <c r="BK7" s="17">
        <f t="shared" si="0"/>
        <v>2028</v>
      </c>
      <c r="BL7" s="17">
        <f t="shared" si="0"/>
        <v>2028</v>
      </c>
      <c r="BM7" s="17">
        <f t="shared" si="0"/>
        <v>2028</v>
      </c>
      <c r="BN7" s="17">
        <f t="shared" si="0"/>
        <v>2028</v>
      </c>
      <c r="BO7" s="17">
        <f t="shared" ref="BO7:CG7" si="1">YEAR(BO5)</f>
        <v>2028</v>
      </c>
      <c r="BP7" s="17">
        <f t="shared" si="1"/>
        <v>2028</v>
      </c>
      <c r="BQ7" s="17">
        <f t="shared" si="1"/>
        <v>2028</v>
      </c>
      <c r="BR7" s="17">
        <f t="shared" si="1"/>
        <v>2028</v>
      </c>
      <c r="BS7" s="17">
        <f t="shared" si="1"/>
        <v>2028</v>
      </c>
      <c r="BT7" s="17">
        <f t="shared" si="1"/>
        <v>2028</v>
      </c>
      <c r="BU7" s="17">
        <f t="shared" si="1"/>
        <v>2028</v>
      </c>
      <c r="BV7" s="17">
        <f t="shared" si="1"/>
        <v>2029</v>
      </c>
      <c r="BW7" s="17">
        <f t="shared" si="1"/>
        <v>2029</v>
      </c>
      <c r="BX7" s="17">
        <f t="shared" si="1"/>
        <v>2029</v>
      </c>
      <c r="BY7" s="17">
        <f t="shared" si="1"/>
        <v>2029</v>
      </c>
      <c r="BZ7" s="17">
        <f t="shared" si="1"/>
        <v>2029</v>
      </c>
      <c r="CA7" s="17">
        <f t="shared" si="1"/>
        <v>2029</v>
      </c>
      <c r="CB7" s="17">
        <f t="shared" si="1"/>
        <v>2029</v>
      </c>
      <c r="CC7" s="17">
        <f t="shared" si="1"/>
        <v>2029</v>
      </c>
      <c r="CD7" s="17">
        <f t="shared" si="1"/>
        <v>2029</v>
      </c>
      <c r="CE7" s="17">
        <f t="shared" si="1"/>
        <v>2029</v>
      </c>
      <c r="CF7" s="17">
        <f t="shared" si="1"/>
        <v>2029</v>
      </c>
      <c r="CG7" s="17">
        <f t="shared" si="1"/>
        <v>2029</v>
      </c>
    </row>
    <row r="8" spans="1:85" s="6" customFormat="1" ht="15" thickBot="1" x14ac:dyDescent="0.35">
      <c r="A8" s="20" t="s">
        <v>23</v>
      </c>
      <c r="B8" s="21" t="str">
        <f>"Q"&amp;ROUNDUP(MONTH(B5)/3,0)</f>
        <v>Q1</v>
      </c>
      <c r="C8" s="21" t="str">
        <f t="shared" ref="C8:BN8" si="2">"Q"&amp;ROUNDUP(MONTH(C5)/3,0)</f>
        <v>Q1</v>
      </c>
      <c r="D8" s="21" t="str">
        <f t="shared" si="2"/>
        <v>Q1</v>
      </c>
      <c r="E8" s="21" t="str">
        <f t="shared" si="2"/>
        <v>Q2</v>
      </c>
      <c r="F8" s="21" t="str">
        <f t="shared" si="2"/>
        <v>Q2</v>
      </c>
      <c r="G8" s="21" t="str">
        <f t="shared" si="2"/>
        <v>Q2</v>
      </c>
      <c r="H8" s="21" t="str">
        <f t="shared" si="2"/>
        <v>Q3</v>
      </c>
      <c r="I8" s="21" t="str">
        <f t="shared" si="2"/>
        <v>Q3</v>
      </c>
      <c r="J8" s="21" t="str">
        <f t="shared" si="2"/>
        <v>Q3</v>
      </c>
      <c r="K8" s="21" t="str">
        <f t="shared" si="2"/>
        <v>Q4</v>
      </c>
      <c r="L8" s="21" t="str">
        <f t="shared" si="2"/>
        <v>Q4</v>
      </c>
      <c r="M8" s="21" t="str">
        <f t="shared" si="2"/>
        <v>Q4</v>
      </c>
      <c r="N8" s="21" t="str">
        <f t="shared" si="2"/>
        <v>Q1</v>
      </c>
      <c r="O8" s="21" t="str">
        <f t="shared" si="2"/>
        <v>Q1</v>
      </c>
      <c r="P8" s="21" t="str">
        <f t="shared" si="2"/>
        <v>Q1</v>
      </c>
      <c r="Q8" s="21" t="str">
        <f t="shared" si="2"/>
        <v>Q2</v>
      </c>
      <c r="R8" s="21" t="str">
        <f t="shared" si="2"/>
        <v>Q2</v>
      </c>
      <c r="S8" s="21" t="str">
        <f t="shared" si="2"/>
        <v>Q2</v>
      </c>
      <c r="T8" s="21" t="str">
        <f t="shared" si="2"/>
        <v>Q3</v>
      </c>
      <c r="U8" s="21" t="str">
        <f t="shared" si="2"/>
        <v>Q3</v>
      </c>
      <c r="V8" s="21" t="str">
        <f t="shared" si="2"/>
        <v>Q3</v>
      </c>
      <c r="W8" s="21" t="str">
        <f t="shared" si="2"/>
        <v>Q4</v>
      </c>
      <c r="X8" s="21" t="str">
        <f t="shared" si="2"/>
        <v>Q4</v>
      </c>
      <c r="Y8" s="21" t="str">
        <f t="shared" si="2"/>
        <v>Q4</v>
      </c>
      <c r="Z8" s="21" t="str">
        <f t="shared" si="2"/>
        <v>Q1</v>
      </c>
      <c r="AA8" s="21" t="str">
        <f t="shared" si="2"/>
        <v>Q1</v>
      </c>
      <c r="AB8" s="21" t="str">
        <f t="shared" si="2"/>
        <v>Q1</v>
      </c>
      <c r="AC8" s="21" t="str">
        <f t="shared" si="2"/>
        <v>Q2</v>
      </c>
      <c r="AD8" s="21" t="str">
        <f t="shared" si="2"/>
        <v>Q2</v>
      </c>
      <c r="AE8" s="21" t="str">
        <f t="shared" si="2"/>
        <v>Q2</v>
      </c>
      <c r="AF8" s="21" t="str">
        <f t="shared" si="2"/>
        <v>Q3</v>
      </c>
      <c r="AG8" s="21" t="str">
        <f t="shared" si="2"/>
        <v>Q3</v>
      </c>
      <c r="AH8" s="21" t="str">
        <f t="shared" si="2"/>
        <v>Q3</v>
      </c>
      <c r="AI8" s="21" t="str">
        <f t="shared" si="2"/>
        <v>Q4</v>
      </c>
      <c r="AJ8" s="21" t="str">
        <f t="shared" si="2"/>
        <v>Q4</v>
      </c>
      <c r="AK8" s="21" t="str">
        <f t="shared" si="2"/>
        <v>Q4</v>
      </c>
      <c r="AL8" s="21" t="str">
        <f t="shared" si="2"/>
        <v>Q1</v>
      </c>
      <c r="AM8" s="21" t="str">
        <f t="shared" si="2"/>
        <v>Q1</v>
      </c>
      <c r="AN8" s="21" t="str">
        <f t="shared" si="2"/>
        <v>Q1</v>
      </c>
      <c r="AO8" s="21" t="str">
        <f t="shared" si="2"/>
        <v>Q2</v>
      </c>
      <c r="AP8" s="21" t="str">
        <f t="shared" si="2"/>
        <v>Q2</v>
      </c>
      <c r="AQ8" s="22" t="str">
        <f t="shared" si="2"/>
        <v>Q2</v>
      </c>
      <c r="AR8" s="21" t="str">
        <f t="shared" si="2"/>
        <v>Q3</v>
      </c>
      <c r="AS8" s="21" t="str">
        <f t="shared" si="2"/>
        <v>Q3</v>
      </c>
      <c r="AT8" s="21" t="str">
        <f t="shared" si="2"/>
        <v>Q3</v>
      </c>
      <c r="AU8" s="21" t="str">
        <f t="shared" si="2"/>
        <v>Q4</v>
      </c>
      <c r="AV8" s="21" t="str">
        <f t="shared" si="2"/>
        <v>Q4</v>
      </c>
      <c r="AW8" s="21" t="str">
        <f t="shared" si="2"/>
        <v>Q4</v>
      </c>
      <c r="AX8" s="21" t="str">
        <f t="shared" si="2"/>
        <v>Q1</v>
      </c>
      <c r="AY8" s="21" t="str">
        <f t="shared" si="2"/>
        <v>Q1</v>
      </c>
      <c r="AZ8" s="21" t="str">
        <f t="shared" si="2"/>
        <v>Q1</v>
      </c>
      <c r="BA8" s="21" t="str">
        <f t="shared" si="2"/>
        <v>Q2</v>
      </c>
      <c r="BB8" s="21" t="str">
        <f t="shared" si="2"/>
        <v>Q2</v>
      </c>
      <c r="BC8" s="21" t="str">
        <f t="shared" si="2"/>
        <v>Q2</v>
      </c>
      <c r="BD8" s="21" t="str">
        <f t="shared" si="2"/>
        <v>Q3</v>
      </c>
      <c r="BE8" s="21" t="str">
        <f t="shared" si="2"/>
        <v>Q3</v>
      </c>
      <c r="BF8" s="21" t="str">
        <f t="shared" si="2"/>
        <v>Q3</v>
      </c>
      <c r="BG8" s="21" t="str">
        <f t="shared" si="2"/>
        <v>Q4</v>
      </c>
      <c r="BH8" s="21" t="str">
        <f t="shared" si="2"/>
        <v>Q4</v>
      </c>
      <c r="BI8" s="21" t="str">
        <f t="shared" si="2"/>
        <v>Q4</v>
      </c>
      <c r="BJ8" s="21" t="str">
        <f t="shared" si="2"/>
        <v>Q1</v>
      </c>
      <c r="BK8" s="21" t="str">
        <f t="shared" si="2"/>
        <v>Q1</v>
      </c>
      <c r="BL8" s="21" t="str">
        <f t="shared" si="2"/>
        <v>Q1</v>
      </c>
      <c r="BM8" s="21" t="str">
        <f t="shared" si="2"/>
        <v>Q2</v>
      </c>
      <c r="BN8" s="21" t="str">
        <f t="shared" si="2"/>
        <v>Q2</v>
      </c>
      <c r="BO8" s="21" t="str">
        <f t="shared" ref="BO8:CG8" si="3">"Q"&amp;ROUNDUP(MONTH(BO5)/3,0)</f>
        <v>Q2</v>
      </c>
      <c r="BP8" s="21" t="str">
        <f t="shared" si="3"/>
        <v>Q3</v>
      </c>
      <c r="BQ8" s="21" t="str">
        <f t="shared" si="3"/>
        <v>Q3</v>
      </c>
      <c r="BR8" s="21" t="str">
        <f t="shared" si="3"/>
        <v>Q3</v>
      </c>
      <c r="BS8" s="21" t="str">
        <f t="shared" si="3"/>
        <v>Q4</v>
      </c>
      <c r="BT8" s="21" t="str">
        <f t="shared" si="3"/>
        <v>Q4</v>
      </c>
      <c r="BU8" s="21" t="str">
        <f t="shared" si="3"/>
        <v>Q4</v>
      </c>
      <c r="BV8" s="21" t="str">
        <f t="shared" si="3"/>
        <v>Q1</v>
      </c>
      <c r="BW8" s="21" t="str">
        <f t="shared" si="3"/>
        <v>Q1</v>
      </c>
      <c r="BX8" s="21" t="str">
        <f t="shared" si="3"/>
        <v>Q1</v>
      </c>
      <c r="BY8" s="21" t="str">
        <f t="shared" si="3"/>
        <v>Q2</v>
      </c>
      <c r="BZ8" s="21" t="str">
        <f t="shared" si="3"/>
        <v>Q2</v>
      </c>
      <c r="CA8" s="21" t="str">
        <f t="shared" si="3"/>
        <v>Q2</v>
      </c>
      <c r="CB8" s="21" t="str">
        <f t="shared" si="3"/>
        <v>Q3</v>
      </c>
      <c r="CC8" s="21" t="str">
        <f t="shared" si="3"/>
        <v>Q3</v>
      </c>
      <c r="CD8" s="21" t="str">
        <f t="shared" si="3"/>
        <v>Q3</v>
      </c>
      <c r="CE8" s="21" t="str">
        <f t="shared" si="3"/>
        <v>Q4</v>
      </c>
      <c r="CF8" s="21" t="str">
        <f t="shared" si="3"/>
        <v>Q4</v>
      </c>
      <c r="CG8" s="21" t="str">
        <f t="shared" si="3"/>
        <v>Q4</v>
      </c>
    </row>
    <row r="9" spans="1:85" x14ac:dyDescent="0.3">
      <c r="A9" s="96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</row>
    <row r="10" spans="1:85" x14ac:dyDescent="0.3">
      <c r="A10" s="23" t="s">
        <v>274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</row>
    <row r="11" spans="1:85" x14ac:dyDescent="0.3">
      <c r="A11" s="26" t="s">
        <v>275</v>
      </c>
      <c r="B11" s="27">
        <f>'08_Forecast_BS'!B22</f>
        <v>3771182.2599999988</v>
      </c>
      <c r="C11" s="27">
        <f>'08_Forecast_BS'!C22</f>
        <v>3312454.6799999969</v>
      </c>
      <c r="D11" s="27">
        <f>'08_Forecast_BS'!D22</f>
        <v>3172057.87</v>
      </c>
      <c r="E11" s="27">
        <f>'08_Forecast_BS'!E22</f>
        <v>3613516.5499999993</v>
      </c>
      <c r="F11" s="27">
        <f>'08_Forecast_BS'!F22</f>
        <v>3000694.0399999996</v>
      </c>
      <c r="G11" s="27">
        <f>'08_Forecast_BS'!G22</f>
        <v>3983097.2499999967</v>
      </c>
      <c r="H11" s="27">
        <f>'08_Forecast_BS'!H22</f>
        <v>3687227.4399999976</v>
      </c>
      <c r="I11" s="27">
        <f>'08_Forecast_BS'!I22</f>
        <v>4042353.8199999994</v>
      </c>
      <c r="J11" s="27">
        <f>'08_Forecast_BS'!J22</f>
        <v>3796047.9</v>
      </c>
      <c r="K11" s="27">
        <f>'08_Forecast_BS'!K22</f>
        <v>3921672.5900000022</v>
      </c>
      <c r="L11" s="27">
        <f>'08_Forecast_BS'!L22</f>
        <v>3229596.2600000021</v>
      </c>
      <c r="M11" s="27">
        <f>'08_Forecast_BS'!M22</f>
        <v>3925204.3599999971</v>
      </c>
      <c r="N11" s="27">
        <f>'08_Forecast_BS'!N22</f>
        <v>4681784.9899999946</v>
      </c>
      <c r="O11" s="27">
        <f>'08_Forecast_BS'!O22</f>
        <v>3839587.2999999984</v>
      </c>
      <c r="P11" s="27">
        <f>'08_Forecast_BS'!P22</f>
        <v>4200103.42</v>
      </c>
      <c r="Q11" s="27">
        <f>'08_Forecast_BS'!Q22</f>
        <v>4088023.129999999</v>
      </c>
      <c r="R11" s="27">
        <f>'08_Forecast_BS'!R22</f>
        <v>4983319.6099999947</v>
      </c>
      <c r="S11" s="27">
        <f>'08_Forecast_BS'!S22</f>
        <v>4880432.2100000009</v>
      </c>
      <c r="T11" s="27">
        <f>'08_Forecast_BS'!T22</f>
        <v>4303373.3800000018</v>
      </c>
      <c r="U11" s="27">
        <f>'08_Forecast_BS'!U22</f>
        <v>5408493.8299999991</v>
      </c>
      <c r="V11" s="27">
        <f>'08_Forecast_BS'!V22</f>
        <v>4555805.32</v>
      </c>
      <c r="W11" s="27">
        <f>'08_Forecast_BS'!W22</f>
        <v>4667284.0000000009</v>
      </c>
      <c r="X11" s="27">
        <f>'08_Forecast_BS'!X22</f>
        <v>3929969.4799999981</v>
      </c>
      <c r="Y11" s="27">
        <f>'08_Forecast_BS'!Y22</f>
        <v>5101061.6299999971</v>
      </c>
      <c r="Z11" s="27">
        <f>'08_Forecast_BS'!Z22</f>
        <v>5529052.0900000008</v>
      </c>
      <c r="AA11" s="27">
        <f>'08_Forecast_BS'!AA22</f>
        <v>5119368.9099999927</v>
      </c>
      <c r="AB11" s="27">
        <f>'08_Forecast_BS'!AB22</f>
        <v>5263376.5699999994</v>
      </c>
      <c r="AC11" s="27">
        <f>'08_Forecast_BS'!AC22</f>
        <v>5052000.1999999927</v>
      </c>
      <c r="AD11" s="27">
        <f>'08_Forecast_BS'!AD22</f>
        <v>5485161.5000000028</v>
      </c>
      <c r="AE11" s="27">
        <f>'08_Forecast_BS'!AE22</f>
        <v>5508029.8399999989</v>
      </c>
      <c r="AF11" s="27">
        <f>'08_Forecast_BS'!AF22</f>
        <v>5258659.3199999994</v>
      </c>
      <c r="AG11" s="27">
        <f>'08_Forecast_BS'!AG22</f>
        <v>6245825.6599999983</v>
      </c>
      <c r="AH11" s="27">
        <f>'08_Forecast_BS'!AH22</f>
        <v>5179603.6499999966</v>
      </c>
      <c r="AI11" s="27">
        <f>'08_Forecast_BS'!AI22</f>
        <v>5036442.4399999976</v>
      </c>
      <c r="AJ11" s="27">
        <f>'08_Forecast_BS'!AJ22</f>
        <v>4337243.0599999996</v>
      </c>
      <c r="AK11" s="27">
        <f>'08_Forecast_BS'!AK22</f>
        <v>5471059.5099999979</v>
      </c>
      <c r="AL11" s="27">
        <f>'08_Forecast_BS'!AL22</f>
        <v>5653312.2899999926</v>
      </c>
      <c r="AM11" s="27">
        <f>'08_Forecast_BS'!AM22</f>
        <v>5232322.9899999965</v>
      </c>
      <c r="AN11" s="27">
        <f>'08_Forecast_BS'!AN22</f>
        <v>4878939.1899999995</v>
      </c>
      <c r="AO11" s="27">
        <f>'08_Forecast_BS'!AO22</f>
        <v>4159533.7100000014</v>
      </c>
      <c r="AP11" s="27">
        <f>'08_Forecast_BS'!AP22</f>
        <v>2612086.1400000006</v>
      </c>
      <c r="AQ11" s="27">
        <f>'08_Forecast_BS'!AQ22</f>
        <v>339676.06</v>
      </c>
      <c r="AR11" s="27">
        <f>'08_Forecast_BS'!AR22</f>
        <v>4983248.1873888019</v>
      </c>
      <c r="AS11" s="27">
        <f>'08_Forecast_BS'!AS22</f>
        <v>5023114.172887912</v>
      </c>
      <c r="AT11" s="27">
        <f>'08_Forecast_BS'!AT22</f>
        <v>5063299.0862710159</v>
      </c>
      <c r="AU11" s="27">
        <f>'08_Forecast_BS'!AU22</f>
        <v>5103805.4789611837</v>
      </c>
      <c r="AV11" s="27">
        <f>'08_Forecast_BS'!AV22</f>
        <v>5144635.9227928733</v>
      </c>
      <c r="AW11" s="27">
        <f>'08_Forecast_BS'!AW22</f>
        <v>5185793.0101752169</v>
      </c>
      <c r="AX11" s="27">
        <f>'08_Forecast_BS'!AX22</f>
        <v>5227279.3542566188</v>
      </c>
      <c r="AY11" s="27">
        <f>'08_Forecast_BS'!AY22</f>
        <v>5269097.5890906714</v>
      </c>
      <c r="AZ11" s="27">
        <f>'08_Forecast_BS'!AZ22</f>
        <v>5311250.369803397</v>
      </c>
      <c r="BA11" s="27">
        <f>'08_Forecast_BS'!BA22</f>
        <v>5353740.3727618242</v>
      </c>
      <c r="BB11" s="27">
        <f>'08_Forecast_BS'!BB22</f>
        <v>5396570.295743919</v>
      </c>
      <c r="BC11" s="27">
        <f>'08_Forecast_BS'!BC22</f>
        <v>5439742.85810987</v>
      </c>
      <c r="BD11" s="27">
        <f>'08_Forecast_BS'!BD22</f>
        <v>5483260.800974749</v>
      </c>
      <c r="BE11" s="27">
        <f>'08_Forecast_BS'!BE22</f>
        <v>5527126.8873825474</v>
      </c>
      <c r="BF11" s="27">
        <f>'08_Forecast_BS'!BF22</f>
        <v>5571343.9024816081</v>
      </c>
      <c r="BG11" s="27">
        <f>'08_Forecast_BS'!BG22</f>
        <v>5615914.6537014609</v>
      </c>
      <c r="BH11" s="27">
        <f>'08_Forecast_BS'!BH22</f>
        <v>5660841.9709310727</v>
      </c>
      <c r="BI11" s="27">
        <f>'08_Forecast_BS'!BI22</f>
        <v>5706128.706698521</v>
      </c>
      <c r="BJ11" s="27">
        <f>'08_Forecast_BS'!BJ22</f>
        <v>5751777.7363521094</v>
      </c>
      <c r="BK11" s="27">
        <f>'08_Forecast_BS'!BK22</f>
        <v>5797791.9582429267</v>
      </c>
      <c r="BL11" s="27">
        <f>'08_Forecast_BS'!BL22</f>
        <v>5844174.2939088698</v>
      </c>
      <c r="BM11" s="27">
        <f>'08_Forecast_BS'!BM22</f>
        <v>5890927.6882601408</v>
      </c>
      <c r="BN11" s="27">
        <f>'08_Forecast_BS'!BN22</f>
        <v>5938055.1097662225</v>
      </c>
      <c r="BO11" s="27">
        <f>'08_Forecast_BS'!BO22</f>
        <v>5985559.5506443521</v>
      </c>
      <c r="BP11" s="27">
        <f>'08_Forecast_BS'!BP22</f>
        <v>6033444.027049507</v>
      </c>
      <c r="BQ11" s="27">
        <f>'08_Forecast_BS'!BQ22</f>
        <v>6081711.5792659028</v>
      </c>
      <c r="BR11" s="27">
        <f>'08_Forecast_BS'!BR22</f>
        <v>6130365.2719000308</v>
      </c>
      <c r="BS11" s="27">
        <f>'08_Forecast_BS'!BS22</f>
        <v>6179408.1940752314</v>
      </c>
      <c r="BT11" s="27">
        <f>'08_Forecast_BS'!BT22</f>
        <v>6228843.4596278332</v>
      </c>
      <c r="BU11" s="27">
        <f>'08_Forecast_BS'!BU22</f>
        <v>6278674.2073048558</v>
      </c>
      <c r="BV11" s="27">
        <f>'08_Forecast_BS'!BV22</f>
        <v>6328903.6009632945</v>
      </c>
      <c r="BW11" s="27">
        <f>'08_Forecast_BS'!BW22</f>
        <v>6379534.8297710009</v>
      </c>
      <c r="BX11" s="27">
        <f>'08_Forecast_BS'!BX22</f>
        <v>6430571.1084091691</v>
      </c>
      <c r="BY11" s="27">
        <f>'08_Forecast_BS'!BY22</f>
        <v>6482015.6772764428</v>
      </c>
      <c r="BZ11" s="27">
        <f>'08_Forecast_BS'!BZ22</f>
        <v>6533871.802694655</v>
      </c>
      <c r="CA11" s="27">
        <f>'08_Forecast_BS'!CA22</f>
        <v>6586142.7771162121</v>
      </c>
      <c r="CB11" s="27">
        <f>'08_Forecast_BS'!CB22</f>
        <v>6638831.9193331413</v>
      </c>
      <c r="CC11" s="27">
        <f>'08_Forecast_BS'!CC22</f>
        <v>6691942.5746878069</v>
      </c>
      <c r="CD11" s="27">
        <f>'08_Forecast_BS'!CD22</f>
        <v>6745478.115285309</v>
      </c>
      <c r="CE11" s="27">
        <f>'08_Forecast_BS'!CE22</f>
        <v>6799441.9402075913</v>
      </c>
      <c r="CF11" s="27">
        <f>'08_Forecast_BS'!CF22</f>
        <v>6853837.4757292522</v>
      </c>
      <c r="CG11" s="27">
        <f>'08_Forecast_BS'!CG22</f>
        <v>6908668.1755350865</v>
      </c>
    </row>
    <row r="12" spans="1:85" x14ac:dyDescent="0.3">
      <c r="A12" s="26" t="s">
        <v>141</v>
      </c>
      <c r="B12" s="29">
        <f>'08_Forecast_BS'!B23</f>
        <v>2972.29</v>
      </c>
      <c r="C12" s="29">
        <f>'08_Forecast_BS'!C23</f>
        <v>144978.51999999999</v>
      </c>
      <c r="D12" s="29">
        <f>'08_Forecast_BS'!D23</f>
        <v>806474.41</v>
      </c>
      <c r="E12" s="29">
        <f>'08_Forecast_BS'!E23</f>
        <v>446431.70000000007</v>
      </c>
      <c r="F12" s="29">
        <f>'08_Forecast_BS'!F23</f>
        <v>642419.7699999999</v>
      </c>
      <c r="G12" s="29">
        <f>'08_Forecast_BS'!G23</f>
        <v>500315.7</v>
      </c>
      <c r="H12" s="29">
        <f>'08_Forecast_BS'!H23</f>
        <v>641704.78000000014</v>
      </c>
      <c r="I12" s="29">
        <f>'08_Forecast_BS'!I23</f>
        <v>635031.86999999988</v>
      </c>
      <c r="J12" s="29">
        <f>'08_Forecast_BS'!J23</f>
        <v>619227.96999999986</v>
      </c>
      <c r="K12" s="29">
        <f>'08_Forecast_BS'!K23</f>
        <v>397281.73999999993</v>
      </c>
      <c r="L12" s="29">
        <f>'08_Forecast_BS'!L23</f>
        <v>544597.97999999986</v>
      </c>
      <c r="M12" s="29">
        <f>'08_Forecast_BS'!M23</f>
        <v>654590.80999999994</v>
      </c>
      <c r="N12" s="29">
        <f>'08_Forecast_BS'!N23</f>
        <v>409944.6</v>
      </c>
      <c r="O12" s="29">
        <f>'08_Forecast_BS'!O23</f>
        <v>323431.84000000003</v>
      </c>
      <c r="P12" s="29">
        <f>'08_Forecast_BS'!P23</f>
        <v>625252.68000000005</v>
      </c>
      <c r="Q12" s="29">
        <f>'08_Forecast_BS'!Q23</f>
        <v>618522.24</v>
      </c>
      <c r="R12" s="29">
        <f>'08_Forecast_BS'!R23</f>
        <v>396039.98999999993</v>
      </c>
      <c r="S12" s="29">
        <f>'08_Forecast_BS'!S23</f>
        <v>523242.62</v>
      </c>
      <c r="T12" s="29">
        <f>'08_Forecast_BS'!T23</f>
        <v>531440.17000000004</v>
      </c>
      <c r="U12" s="29">
        <f>'08_Forecast_BS'!U23</f>
        <v>363636.43</v>
      </c>
      <c r="V12" s="29">
        <f>'08_Forecast_BS'!V23</f>
        <v>433237.94000000006</v>
      </c>
      <c r="W12" s="29">
        <f>'08_Forecast_BS'!W23</f>
        <v>572155.3600000001</v>
      </c>
      <c r="X12" s="29">
        <f>'08_Forecast_BS'!X23</f>
        <v>489690.52999999997</v>
      </c>
      <c r="Y12" s="29">
        <f>'08_Forecast_BS'!Y23</f>
        <v>502100.68</v>
      </c>
      <c r="Z12" s="29">
        <f>'08_Forecast_BS'!Z23</f>
        <v>776723.52</v>
      </c>
      <c r="AA12" s="29">
        <f>'08_Forecast_BS'!AA23</f>
        <v>370720.92999999993</v>
      </c>
      <c r="AB12" s="29">
        <f>'08_Forecast_BS'!AB23</f>
        <v>576205.5299999998</v>
      </c>
      <c r="AC12" s="29">
        <f>'08_Forecast_BS'!AC23</f>
        <v>454771.6999999999</v>
      </c>
      <c r="AD12" s="29">
        <f>'08_Forecast_BS'!AD23</f>
        <v>506104.71</v>
      </c>
      <c r="AE12" s="29">
        <f>'08_Forecast_BS'!AE23</f>
        <v>533035.49</v>
      </c>
      <c r="AF12" s="29">
        <f>'08_Forecast_BS'!AF23</f>
        <v>772095.82000000007</v>
      </c>
      <c r="AG12" s="29">
        <f>'08_Forecast_BS'!AG23</f>
        <v>440051.35000000003</v>
      </c>
      <c r="AH12" s="29">
        <f>'08_Forecast_BS'!AH23</f>
        <v>494285.4</v>
      </c>
      <c r="AI12" s="29">
        <f>'08_Forecast_BS'!AI23</f>
        <v>873193.50000000012</v>
      </c>
      <c r="AJ12" s="29">
        <f>'08_Forecast_BS'!AJ23</f>
        <v>434388.63</v>
      </c>
      <c r="AK12" s="29">
        <f>'08_Forecast_BS'!AK23</f>
        <v>522809.90999999992</v>
      </c>
      <c r="AL12" s="29">
        <f>'08_Forecast_BS'!AL23</f>
        <v>782430.04999999981</v>
      </c>
      <c r="AM12" s="29">
        <f>'08_Forecast_BS'!AM23</f>
        <v>531375.06999999995</v>
      </c>
      <c r="AN12" s="29">
        <f>'08_Forecast_BS'!AN23</f>
        <v>688785.7899999998</v>
      </c>
      <c r="AO12" s="29">
        <f>'08_Forecast_BS'!AO23</f>
        <v>670024.62999999989</v>
      </c>
      <c r="AP12" s="29">
        <f>'08_Forecast_BS'!AP23</f>
        <v>719013.4</v>
      </c>
      <c r="AQ12" s="29">
        <f>'08_Forecast_BS'!AQ23</f>
        <v>75311.75</v>
      </c>
      <c r="AR12" s="29">
        <f>'08_Forecast_BS'!AR23</f>
        <v>66636.977400000003</v>
      </c>
      <c r="AS12" s="29">
        <f>'08_Forecast_BS'!AS23</f>
        <v>67170.0732192</v>
      </c>
      <c r="AT12" s="29">
        <f>'08_Forecast_BS'!AT23</f>
        <v>67707.433804953602</v>
      </c>
      <c r="AU12" s="29">
        <f>'08_Forecast_BS'!AU23</f>
        <v>68249.093275393228</v>
      </c>
      <c r="AV12" s="29">
        <f>'08_Forecast_BS'!AV23</f>
        <v>68795.086021596377</v>
      </c>
      <c r="AW12" s="29">
        <f>'08_Forecast_BS'!AW23</f>
        <v>69345.446709769152</v>
      </c>
      <c r="AX12" s="29">
        <f>'08_Forecast_BS'!AX23</f>
        <v>69900.210283447304</v>
      </c>
      <c r="AY12" s="29">
        <f>'08_Forecast_BS'!AY23</f>
        <v>70459.411965714869</v>
      </c>
      <c r="AZ12" s="29">
        <f>'08_Forecast_BS'!AZ23</f>
        <v>71023.087261440596</v>
      </c>
      <c r="BA12" s="29">
        <f>'08_Forecast_BS'!BA23</f>
        <v>71591.271959532125</v>
      </c>
      <c r="BB12" s="29">
        <f>'08_Forecast_BS'!BB23</f>
        <v>72164.002135208371</v>
      </c>
      <c r="BC12" s="29">
        <f>'08_Forecast_BS'!BC23</f>
        <v>72741.314152290055</v>
      </c>
      <c r="BD12" s="29">
        <f>'08_Forecast_BS'!BD23</f>
        <v>73323.244665508377</v>
      </c>
      <c r="BE12" s="29">
        <f>'08_Forecast_BS'!BE23</f>
        <v>73909.830622832436</v>
      </c>
      <c r="BF12" s="29">
        <f>'08_Forecast_BS'!BF23</f>
        <v>74501.109267815104</v>
      </c>
      <c r="BG12" s="29">
        <f>'08_Forecast_BS'!BG23</f>
        <v>75097.118141957617</v>
      </c>
      <c r="BH12" s="29">
        <f>'08_Forecast_BS'!BH23</f>
        <v>75697.895087093289</v>
      </c>
      <c r="BI12" s="29">
        <f>'08_Forecast_BS'!BI23</f>
        <v>76303.47824779003</v>
      </c>
      <c r="BJ12" s="29">
        <f>'08_Forecast_BS'!BJ23</f>
        <v>76913.906073772348</v>
      </c>
      <c r="BK12" s="29">
        <f>'08_Forecast_BS'!BK23</f>
        <v>77529.217322362529</v>
      </c>
      <c r="BL12" s="29">
        <f>'08_Forecast_BS'!BL23</f>
        <v>78149.451060941428</v>
      </c>
      <c r="BM12" s="29">
        <f>'08_Forecast_BS'!BM23</f>
        <v>78774.64666942897</v>
      </c>
      <c r="BN12" s="29">
        <f>'08_Forecast_BS'!BN23</f>
        <v>79404.843842784394</v>
      </c>
      <c r="BO12" s="29">
        <f>'08_Forecast_BS'!BO23</f>
        <v>80040.082593526677</v>
      </c>
      <c r="BP12" s="29">
        <f>'08_Forecast_BS'!BP23</f>
        <v>80680.40325427489</v>
      </c>
      <c r="BQ12" s="29">
        <f>'08_Forecast_BS'!BQ23</f>
        <v>81325.84648030909</v>
      </c>
      <c r="BR12" s="29">
        <f>'08_Forecast_BS'!BR23</f>
        <v>81976.453252151565</v>
      </c>
      <c r="BS12" s="29">
        <f>'08_Forecast_BS'!BS23</f>
        <v>82632.264878168775</v>
      </c>
      <c r="BT12" s="29">
        <f>'08_Forecast_BS'!BT23</f>
        <v>83293.322997194118</v>
      </c>
      <c r="BU12" s="29">
        <f>'08_Forecast_BS'!BU23</f>
        <v>83959.669581171678</v>
      </c>
      <c r="BV12" s="29">
        <f>'08_Forecast_BS'!BV23</f>
        <v>84631.346937821043</v>
      </c>
      <c r="BW12" s="29">
        <f>'08_Forecast_BS'!BW23</f>
        <v>85308.397713323619</v>
      </c>
      <c r="BX12" s="29">
        <f>'08_Forecast_BS'!BX23</f>
        <v>85990.864895030201</v>
      </c>
      <c r="BY12" s="29">
        <f>'08_Forecast_BS'!BY23</f>
        <v>86678.791814190452</v>
      </c>
      <c r="BZ12" s="29">
        <f>'08_Forecast_BS'!BZ23</f>
        <v>87372.222148703964</v>
      </c>
      <c r="CA12" s="29">
        <f>'08_Forecast_BS'!CA23</f>
        <v>88071.199925893598</v>
      </c>
      <c r="CB12" s="29">
        <f>'08_Forecast_BS'!CB23</f>
        <v>88775.76952530074</v>
      </c>
      <c r="CC12" s="29">
        <f>'08_Forecast_BS'!CC23</f>
        <v>89485.975681503158</v>
      </c>
      <c r="CD12" s="29">
        <f>'08_Forecast_BS'!CD23</f>
        <v>90201.863486955175</v>
      </c>
      <c r="CE12" s="29">
        <f>'08_Forecast_BS'!CE23</f>
        <v>90923.478394850827</v>
      </c>
      <c r="CF12" s="29">
        <f>'08_Forecast_BS'!CF23</f>
        <v>91650.86622200963</v>
      </c>
      <c r="CG12" s="29">
        <f>'08_Forecast_BS'!CG23</f>
        <v>92384.073151785706</v>
      </c>
    </row>
    <row r="13" spans="1:85" x14ac:dyDescent="0.3">
      <c r="A13" s="26" t="s">
        <v>263</v>
      </c>
      <c r="B13" s="27">
        <f>'08_Forecast_BS'!B24</f>
        <v>4641129.1000000006</v>
      </c>
      <c r="C13" s="27">
        <f>'08_Forecast_BS'!C24</f>
        <v>4731102.6499999994</v>
      </c>
      <c r="D13" s="27">
        <f>'08_Forecast_BS'!D24</f>
        <v>4807431.4200000009</v>
      </c>
      <c r="E13" s="27">
        <f>'08_Forecast_BS'!E24</f>
        <v>4868707.2100000009</v>
      </c>
      <c r="F13" s="27">
        <f>'08_Forecast_BS'!F24</f>
        <v>4929130.58</v>
      </c>
      <c r="G13" s="27">
        <f>'08_Forecast_BS'!G24</f>
        <v>4974433.37</v>
      </c>
      <c r="H13" s="27">
        <f>'08_Forecast_BS'!H24</f>
        <v>5078536.9500000011</v>
      </c>
      <c r="I13" s="27">
        <f>'08_Forecast_BS'!I24</f>
        <v>5101870.17</v>
      </c>
      <c r="J13" s="27">
        <f>'08_Forecast_BS'!J24</f>
        <v>5180494.3099999996</v>
      </c>
      <c r="K13" s="27">
        <f>'08_Forecast_BS'!K24</f>
        <v>5252380.18</v>
      </c>
      <c r="L13" s="27">
        <f>'08_Forecast_BS'!L24</f>
        <v>5366818.25</v>
      </c>
      <c r="M13" s="27">
        <f>'08_Forecast_BS'!M24</f>
        <v>5390038.7999999998</v>
      </c>
      <c r="N13" s="27">
        <f>'08_Forecast_BS'!N24</f>
        <v>5441776.8500000006</v>
      </c>
      <c r="O13" s="27">
        <f>'08_Forecast_BS'!O24</f>
        <v>5549098.9000000004</v>
      </c>
      <c r="P13" s="27">
        <f>'08_Forecast_BS'!P24</f>
        <v>5583951.7800000003</v>
      </c>
      <c r="Q13" s="27">
        <f>'08_Forecast_BS'!Q24</f>
        <v>5651568.6500000004</v>
      </c>
      <c r="R13" s="27">
        <f>'08_Forecast_BS'!R24</f>
        <v>5807352.8200000003</v>
      </c>
      <c r="S13" s="27">
        <f>'08_Forecast_BS'!S24</f>
        <v>5904117.4299999997</v>
      </c>
      <c r="T13" s="27">
        <f>'08_Forecast_BS'!T24</f>
        <v>5952167.6600000001</v>
      </c>
      <c r="U13" s="27">
        <f>'08_Forecast_BS'!U24</f>
        <v>6093331.830000001</v>
      </c>
      <c r="V13" s="27">
        <f>'08_Forecast_BS'!V24</f>
        <v>6263049.2199999997</v>
      </c>
      <c r="W13" s="27">
        <f>'08_Forecast_BS'!W24</f>
        <v>6330825.9299999997</v>
      </c>
      <c r="X13" s="27">
        <f>'08_Forecast_BS'!X24</f>
        <v>6383200.4299999997</v>
      </c>
      <c r="Y13" s="27">
        <f>'08_Forecast_BS'!Y24</f>
        <v>6471488.5699999994</v>
      </c>
      <c r="Z13" s="27">
        <f>'08_Forecast_BS'!Z24</f>
        <v>6543292.5699999994</v>
      </c>
      <c r="AA13" s="27">
        <f>'08_Forecast_BS'!AA24</f>
        <v>6555501.7699999996</v>
      </c>
      <c r="AB13" s="27">
        <f>'08_Forecast_BS'!AB24</f>
        <v>6630713.8200000012</v>
      </c>
      <c r="AC13" s="27">
        <f>'08_Forecast_BS'!AC24</f>
        <v>6707394.5600000005</v>
      </c>
      <c r="AD13" s="27">
        <f>'08_Forecast_BS'!AD24</f>
        <v>6847152.3900000006</v>
      </c>
      <c r="AE13" s="27">
        <f>'08_Forecast_BS'!AE24</f>
        <v>6984886.4199999999</v>
      </c>
      <c r="AF13" s="27">
        <f>'08_Forecast_BS'!AF24</f>
        <v>7080832.7999999989</v>
      </c>
      <c r="AG13" s="27">
        <f>'08_Forecast_BS'!AG24</f>
        <v>7173988.1500000004</v>
      </c>
      <c r="AH13" s="27">
        <f>'08_Forecast_BS'!AH24</f>
        <v>7283674.1899999995</v>
      </c>
      <c r="AI13" s="27">
        <f>'08_Forecast_BS'!AI24</f>
        <v>7354067.54</v>
      </c>
      <c r="AJ13" s="27">
        <f>'08_Forecast_BS'!AJ24</f>
        <v>7457923.1699999999</v>
      </c>
      <c r="AK13" s="27">
        <f>'08_Forecast_BS'!AK24</f>
        <v>7533177.6399999987</v>
      </c>
      <c r="AL13" s="27">
        <f>'08_Forecast_BS'!AL24</f>
        <v>7616787.2600000007</v>
      </c>
      <c r="AM13" s="27">
        <f>'08_Forecast_BS'!AM24</f>
        <v>7615783.0899999999</v>
      </c>
      <c r="AN13" s="27">
        <f>'08_Forecast_BS'!AN24</f>
        <v>7599129.6400000006</v>
      </c>
      <c r="AO13" s="27">
        <f>'08_Forecast_BS'!AO24</f>
        <v>7618267.2399999993</v>
      </c>
      <c r="AP13" s="27">
        <f>'08_Forecast_BS'!AP24</f>
        <v>7621982.7300000004</v>
      </c>
      <c r="AQ13" s="27">
        <f>'08_Forecast_BS'!AQ24</f>
        <v>7655791.1799999997</v>
      </c>
      <c r="AR13" s="27">
        <f>'08_Forecast_BS'!AR24</f>
        <v>7732349.0917999996</v>
      </c>
      <c r="AS13" s="27">
        <f>'08_Forecast_BS'!AS24</f>
        <v>7809672.5827179998</v>
      </c>
      <c r="AT13" s="27">
        <f>'08_Forecast_BS'!AT24</f>
        <v>7887769.3085451797</v>
      </c>
      <c r="AU13" s="27">
        <f>'08_Forecast_BS'!AU24</f>
        <v>7966647.0016306313</v>
      </c>
      <c r="AV13" s="27">
        <f>'08_Forecast_BS'!AV24</f>
        <v>8046313.4716469375</v>
      </c>
      <c r="AW13" s="27">
        <f>'08_Forecast_BS'!AW24</f>
        <v>8126776.6063634073</v>
      </c>
      <c r="AX13" s="27">
        <f>'08_Forecast_BS'!AX24</f>
        <v>8208044.3724270416</v>
      </c>
      <c r="AY13" s="27">
        <f>'08_Forecast_BS'!AY24</f>
        <v>8290124.8161513126</v>
      </c>
      <c r="AZ13" s="27">
        <f>'08_Forecast_BS'!AZ24</f>
        <v>8373026.0643128259</v>
      </c>
      <c r="BA13" s="27">
        <f>'08_Forecast_BS'!BA24</f>
        <v>8456756.3249559551</v>
      </c>
      <c r="BB13" s="27">
        <f>'08_Forecast_BS'!BB24</f>
        <v>8541323.8882055152</v>
      </c>
      <c r="BC13" s="27">
        <f>'08_Forecast_BS'!BC24</f>
        <v>8626737.1270875707</v>
      </c>
      <c r="BD13" s="27">
        <f>'08_Forecast_BS'!BD24</f>
        <v>8713004.4983584471</v>
      </c>
      <c r="BE13" s="27">
        <f>'08_Forecast_BS'!BE24</f>
        <v>8800134.5433420315</v>
      </c>
      <c r="BF13" s="27">
        <f>'08_Forecast_BS'!BF24</f>
        <v>8888135.8887754511</v>
      </c>
      <c r="BG13" s="27">
        <f>'08_Forecast_BS'!BG24</f>
        <v>8977017.2476632055</v>
      </c>
      <c r="BH13" s="27">
        <f>'08_Forecast_BS'!BH24</f>
        <v>9066787.420139838</v>
      </c>
      <c r="BI13" s="27">
        <f>'08_Forecast_BS'!BI24</f>
        <v>9157455.2943412364</v>
      </c>
      <c r="BJ13" s="27">
        <f>'08_Forecast_BS'!BJ24</f>
        <v>9249029.8472846486</v>
      </c>
      <c r="BK13" s="27">
        <f>'08_Forecast_BS'!BK24</f>
        <v>9341520.1457574945</v>
      </c>
      <c r="BL13" s="27">
        <f>'08_Forecast_BS'!BL24</f>
        <v>9434935.3472150695</v>
      </c>
      <c r="BM13" s="27">
        <f>'08_Forecast_BS'!BM24</f>
        <v>9529284.7006872203</v>
      </c>
      <c r="BN13" s="27">
        <f>'08_Forecast_BS'!BN24</f>
        <v>9624577.5476940926</v>
      </c>
      <c r="BO13" s="27">
        <f>'08_Forecast_BS'!BO24</f>
        <v>9720823.3231710345</v>
      </c>
      <c r="BP13" s="27">
        <f>'08_Forecast_BS'!BP24</f>
        <v>9818031.5564027447</v>
      </c>
      <c r="BQ13" s="27">
        <f>'08_Forecast_BS'!BQ24</f>
        <v>9916211.8719667718</v>
      </c>
      <c r="BR13" s="27">
        <f>'08_Forecast_BS'!BR24</f>
        <v>10015373.990686439</v>
      </c>
      <c r="BS13" s="27">
        <f>'08_Forecast_BS'!BS24</f>
        <v>10115527.730593303</v>
      </c>
      <c r="BT13" s="27">
        <f>'08_Forecast_BS'!BT24</f>
        <v>10216683.007899236</v>
      </c>
      <c r="BU13" s="27">
        <f>'08_Forecast_BS'!BU24</f>
        <v>10318849.837978229</v>
      </c>
      <c r="BV13" s="27">
        <f>'08_Forecast_BS'!BV24</f>
        <v>10422038.336358011</v>
      </c>
      <c r="BW13" s="27">
        <f>'08_Forecast_BS'!BW24</f>
        <v>10526258.719721591</v>
      </c>
      <c r="BX13" s="27">
        <f>'08_Forecast_BS'!BX24</f>
        <v>10631521.306918807</v>
      </c>
      <c r="BY13" s="27">
        <f>'08_Forecast_BS'!BY24</f>
        <v>10737836.519987995</v>
      </c>
      <c r="BZ13" s="27">
        <f>'08_Forecast_BS'!BZ24</f>
        <v>10845214.885187875</v>
      </c>
      <c r="CA13" s="27">
        <f>'08_Forecast_BS'!CA24</f>
        <v>10953667.034039754</v>
      </c>
      <c r="CB13" s="27">
        <f>'08_Forecast_BS'!CB24</f>
        <v>11063203.704380153</v>
      </c>
      <c r="CC13" s="27">
        <f>'08_Forecast_BS'!CC24</f>
        <v>11173835.741423955</v>
      </c>
      <c r="CD13" s="27">
        <f>'08_Forecast_BS'!CD24</f>
        <v>11285574.098838195</v>
      </c>
      <c r="CE13" s="27">
        <f>'08_Forecast_BS'!CE24</f>
        <v>11398429.839826576</v>
      </c>
      <c r="CF13" s="27">
        <f>'08_Forecast_BS'!CF24</f>
        <v>11512414.138224842</v>
      </c>
      <c r="CG13" s="27">
        <f>'08_Forecast_BS'!CG24</f>
        <v>11627538.279607091</v>
      </c>
    </row>
    <row r="14" spans="1:85" x14ac:dyDescent="0.3">
      <c r="A14" s="26" t="s">
        <v>276</v>
      </c>
      <c r="B14" s="29">
        <f>B11-B12-B13</f>
        <v>-872919.13000000175</v>
      </c>
      <c r="C14" s="29">
        <f t="shared" ref="C14:BN14" si="4">C11-C12-C13</f>
        <v>-1563626.4900000026</v>
      </c>
      <c r="D14" s="29">
        <f t="shared" si="4"/>
        <v>-2441847.9600000009</v>
      </c>
      <c r="E14" s="29">
        <f t="shared" si="4"/>
        <v>-1701622.3600000017</v>
      </c>
      <c r="F14" s="29">
        <f t="shared" si="4"/>
        <v>-2570856.3100000005</v>
      </c>
      <c r="G14" s="29">
        <f t="shared" si="4"/>
        <v>-1491651.8200000036</v>
      </c>
      <c r="H14" s="29">
        <f t="shared" si="4"/>
        <v>-2033014.2900000038</v>
      </c>
      <c r="I14" s="29">
        <f t="shared" si="4"/>
        <v>-1694548.2200000007</v>
      </c>
      <c r="J14" s="29">
        <f t="shared" si="4"/>
        <v>-2003674.3799999994</v>
      </c>
      <c r="K14" s="29">
        <f t="shared" si="4"/>
        <v>-1727989.3299999973</v>
      </c>
      <c r="L14" s="29">
        <f t="shared" si="4"/>
        <v>-2681819.9699999979</v>
      </c>
      <c r="M14" s="29">
        <f t="shared" si="4"/>
        <v>-2119425.2500000028</v>
      </c>
      <c r="N14" s="29">
        <f t="shared" si="4"/>
        <v>-1169936.4600000056</v>
      </c>
      <c r="O14" s="29">
        <f t="shared" si="4"/>
        <v>-2032943.4400000018</v>
      </c>
      <c r="P14" s="29">
        <f t="shared" si="4"/>
        <v>-2009101.0400000005</v>
      </c>
      <c r="Q14" s="29">
        <f t="shared" si="4"/>
        <v>-2182067.7600000016</v>
      </c>
      <c r="R14" s="29">
        <f t="shared" si="4"/>
        <v>-1220073.2000000058</v>
      </c>
      <c r="S14" s="29">
        <f t="shared" si="4"/>
        <v>-1546927.8399999989</v>
      </c>
      <c r="T14" s="29">
        <f t="shared" si="4"/>
        <v>-2180234.4499999983</v>
      </c>
      <c r="U14" s="29">
        <f t="shared" si="4"/>
        <v>-1048474.4300000016</v>
      </c>
      <c r="V14" s="29">
        <f t="shared" si="4"/>
        <v>-2140481.8399999994</v>
      </c>
      <c r="W14" s="29">
        <f t="shared" si="4"/>
        <v>-2235697.2899999991</v>
      </c>
      <c r="X14" s="29">
        <f t="shared" si="4"/>
        <v>-2942921.4800000014</v>
      </c>
      <c r="Y14" s="29">
        <f t="shared" si="4"/>
        <v>-1872527.620000002</v>
      </c>
      <c r="Z14" s="29">
        <f t="shared" si="4"/>
        <v>-1790963.9999999991</v>
      </c>
      <c r="AA14" s="29">
        <f t="shared" si="4"/>
        <v>-1806853.7900000066</v>
      </c>
      <c r="AB14" s="29">
        <f t="shared" si="4"/>
        <v>-1943542.7800000021</v>
      </c>
      <c r="AC14" s="29">
        <f t="shared" si="4"/>
        <v>-2110166.060000008</v>
      </c>
      <c r="AD14" s="29">
        <f t="shared" si="4"/>
        <v>-1868095.5999999978</v>
      </c>
      <c r="AE14" s="29">
        <f t="shared" si="4"/>
        <v>-2009892.0700000012</v>
      </c>
      <c r="AF14" s="29">
        <f t="shared" si="4"/>
        <v>-2594269.2999999998</v>
      </c>
      <c r="AG14" s="29">
        <f t="shared" si="4"/>
        <v>-1368213.8400000017</v>
      </c>
      <c r="AH14" s="29">
        <f t="shared" si="4"/>
        <v>-2598355.9400000032</v>
      </c>
      <c r="AI14" s="29">
        <f t="shared" si="4"/>
        <v>-3190818.6000000024</v>
      </c>
      <c r="AJ14" s="29">
        <f t="shared" si="4"/>
        <v>-3555068.74</v>
      </c>
      <c r="AK14" s="29">
        <f t="shared" si="4"/>
        <v>-2584928.040000001</v>
      </c>
      <c r="AL14" s="29">
        <f t="shared" si="4"/>
        <v>-2745905.0200000079</v>
      </c>
      <c r="AM14" s="29">
        <f t="shared" si="4"/>
        <v>-2914835.1700000037</v>
      </c>
      <c r="AN14" s="29">
        <f t="shared" si="4"/>
        <v>-3408976.2400000012</v>
      </c>
      <c r="AO14" s="29">
        <f t="shared" si="4"/>
        <v>-4128758.1599999978</v>
      </c>
      <c r="AP14" s="29">
        <f t="shared" si="4"/>
        <v>-5728909.9900000002</v>
      </c>
      <c r="AQ14" s="29">
        <f t="shared" si="4"/>
        <v>-7391426.8700000001</v>
      </c>
      <c r="AR14" s="29">
        <f t="shared" si="4"/>
        <v>-2815737.8818111978</v>
      </c>
      <c r="AS14" s="29">
        <f t="shared" si="4"/>
        <v>-2853728.4830492875</v>
      </c>
      <c r="AT14" s="29">
        <f t="shared" si="4"/>
        <v>-2892177.6560791172</v>
      </c>
      <c r="AU14" s="29">
        <f t="shared" si="4"/>
        <v>-2931090.6159448409</v>
      </c>
      <c r="AV14" s="29">
        <f t="shared" si="4"/>
        <v>-2970472.6348756608</v>
      </c>
      <c r="AW14" s="29">
        <f t="shared" si="4"/>
        <v>-3010329.0428979592</v>
      </c>
      <c r="AX14" s="29">
        <f t="shared" si="4"/>
        <v>-3050665.2284538699</v>
      </c>
      <c r="AY14" s="29">
        <f t="shared" si="4"/>
        <v>-3091486.6390263559</v>
      </c>
      <c r="AZ14" s="29">
        <f t="shared" si="4"/>
        <v>-3132798.7817708692</v>
      </c>
      <c r="BA14" s="29">
        <f t="shared" si="4"/>
        <v>-3174607.224153663</v>
      </c>
      <c r="BB14" s="29">
        <f t="shared" si="4"/>
        <v>-3216917.5945968051</v>
      </c>
      <c r="BC14" s="29">
        <f t="shared" si="4"/>
        <v>-3259735.5831299908</v>
      </c>
      <c r="BD14" s="29">
        <f t="shared" si="4"/>
        <v>-3303066.9420492062</v>
      </c>
      <c r="BE14" s="29">
        <f t="shared" si="4"/>
        <v>-3346917.4865823165</v>
      </c>
      <c r="BF14" s="29">
        <f t="shared" si="4"/>
        <v>-3391293.095561658</v>
      </c>
      <c r="BG14" s="29">
        <f t="shared" si="4"/>
        <v>-3436199.7121037021</v>
      </c>
      <c r="BH14" s="29">
        <f t="shared" si="4"/>
        <v>-3481643.3442958584</v>
      </c>
      <c r="BI14" s="29">
        <f t="shared" si="4"/>
        <v>-3527630.065890505</v>
      </c>
      <c r="BJ14" s="29">
        <f t="shared" si="4"/>
        <v>-3574166.0170063116</v>
      </c>
      <c r="BK14" s="29">
        <f t="shared" si="4"/>
        <v>-3621257.4048369303</v>
      </c>
      <c r="BL14" s="29">
        <f t="shared" si="4"/>
        <v>-3668910.5043671411</v>
      </c>
      <c r="BM14" s="29">
        <f t="shared" si="4"/>
        <v>-3717131.6590965083</v>
      </c>
      <c r="BN14" s="29">
        <f t="shared" si="4"/>
        <v>-3765927.281770654</v>
      </c>
      <c r="BO14" s="29">
        <f t="shared" ref="BO14:CG14" si="5">BO11-BO12-BO13</f>
        <v>-3815303.855120209</v>
      </c>
      <c r="BP14" s="29">
        <f t="shared" si="5"/>
        <v>-3865267.9326075129</v>
      </c>
      <c r="BQ14" s="29">
        <f t="shared" si="5"/>
        <v>-3915826.1391811781</v>
      </c>
      <c r="BR14" s="29">
        <f t="shared" si="5"/>
        <v>-3966985.1720385598</v>
      </c>
      <c r="BS14" s="29">
        <f t="shared" si="5"/>
        <v>-4018751.8013962405</v>
      </c>
      <c r="BT14" s="29">
        <f t="shared" si="5"/>
        <v>-4071132.8712685965</v>
      </c>
      <c r="BU14" s="29">
        <f t="shared" si="5"/>
        <v>-4124135.3002545452</v>
      </c>
      <c r="BV14" s="29">
        <f t="shared" si="5"/>
        <v>-4177766.0823325375</v>
      </c>
      <c r="BW14" s="29">
        <f t="shared" si="5"/>
        <v>-4232032.2876639143</v>
      </c>
      <c r="BX14" s="29">
        <f t="shared" si="5"/>
        <v>-4286941.0634046681</v>
      </c>
      <c r="BY14" s="29">
        <f t="shared" si="5"/>
        <v>-4342499.6345257424</v>
      </c>
      <c r="BZ14" s="29">
        <f t="shared" si="5"/>
        <v>-4398715.3046419248</v>
      </c>
      <c r="CA14" s="29">
        <f t="shared" si="5"/>
        <v>-4455595.4568494363</v>
      </c>
      <c r="CB14" s="29">
        <f t="shared" si="5"/>
        <v>-4513147.5545723122</v>
      </c>
      <c r="CC14" s="29">
        <f t="shared" si="5"/>
        <v>-4571379.1424176516</v>
      </c>
      <c r="CD14" s="29">
        <f t="shared" si="5"/>
        <v>-4630297.8470398411</v>
      </c>
      <c r="CE14" s="29">
        <f t="shared" si="5"/>
        <v>-4689911.3780138362</v>
      </c>
      <c r="CF14" s="29">
        <f t="shared" si="5"/>
        <v>-4750227.5287175998</v>
      </c>
      <c r="CG14" s="29">
        <f t="shared" si="5"/>
        <v>-4811254.1772237904</v>
      </c>
    </row>
    <row r="15" spans="1:85" x14ac:dyDescent="0.3">
      <c r="A15" s="96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</row>
    <row r="16" spans="1:85" x14ac:dyDescent="0.3">
      <c r="A16" s="23" t="s">
        <v>261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</row>
    <row r="17" spans="1:85" x14ac:dyDescent="0.3">
      <c r="A17" s="26" t="s">
        <v>262</v>
      </c>
      <c r="B17" s="27">
        <f>'08_Forecast_BS'!B20</f>
        <v>10000000</v>
      </c>
      <c r="C17" s="27">
        <f>'08_Forecast_BS'!C20</f>
        <v>9127080.8699999973</v>
      </c>
      <c r="D17" s="27">
        <f>'08_Forecast_BS'!D20</f>
        <v>7563454.3799999952</v>
      </c>
      <c r="E17" s="27">
        <f>'08_Forecast_BS'!E20</f>
        <v>5121606.4199999943</v>
      </c>
      <c r="F17" s="27">
        <f>'08_Forecast_BS'!F20</f>
        <v>3419984.0599999926</v>
      </c>
      <c r="G17" s="27">
        <f>'08_Forecast_BS'!G20</f>
        <v>849127.74999999208</v>
      </c>
      <c r="H17" s="27">
        <f>'08_Forecast_BS'!H20</f>
        <v>-642524.07000001147</v>
      </c>
      <c r="I17" s="27">
        <f>'08_Forecast_BS'!I20</f>
        <v>-2675538.3600000152</v>
      </c>
      <c r="J17" s="27">
        <f>'08_Forecast_BS'!J20</f>
        <v>-4370086.5800000159</v>
      </c>
      <c r="K17" s="27">
        <f>'08_Forecast_BS'!K20</f>
        <v>-6373760.9600000158</v>
      </c>
      <c r="L17" s="27">
        <f>'08_Forecast_BS'!L20</f>
        <v>-8101750.2900000131</v>
      </c>
      <c r="M17" s="27">
        <f>'08_Forecast_BS'!M20</f>
        <v>-10783570.260000011</v>
      </c>
      <c r="N17" s="27">
        <f>'08_Forecast_BS'!N20</f>
        <v>-12902995.510000013</v>
      </c>
      <c r="O17" s="27">
        <f>'08_Forecast_BS'!O20</f>
        <v>-14072931.970000017</v>
      </c>
      <c r="P17" s="27">
        <f>'08_Forecast_BS'!P20</f>
        <v>-16105875.410000019</v>
      </c>
      <c r="Q17" s="27">
        <f>'08_Forecast_BS'!Q20</f>
        <v>-18114976.450000018</v>
      </c>
      <c r="R17" s="27">
        <f>'08_Forecast_BS'!R20</f>
        <v>-20297044.21000002</v>
      </c>
      <c r="S17" s="27">
        <f>'08_Forecast_BS'!S20</f>
        <v>-21517117.410000026</v>
      </c>
      <c r="T17" s="27">
        <f>'08_Forecast_BS'!T20</f>
        <v>-23064045.250000026</v>
      </c>
      <c r="U17" s="27">
        <f>'08_Forecast_BS'!U20</f>
        <v>-25244279.700000025</v>
      </c>
      <c r="V17" s="27">
        <f>'08_Forecast_BS'!V20</f>
        <v>-26292754.130000025</v>
      </c>
      <c r="W17" s="27">
        <f>'08_Forecast_BS'!W20</f>
        <v>-28433235.970000025</v>
      </c>
      <c r="X17" s="27">
        <f>'08_Forecast_BS'!X20</f>
        <v>-30668933.260000024</v>
      </c>
      <c r="Y17" s="27">
        <f>'08_Forecast_BS'!Y20</f>
        <v>-33611854.740000024</v>
      </c>
      <c r="Z17" s="27">
        <f>'08_Forecast_BS'!Z20</f>
        <v>-35484382.360000029</v>
      </c>
      <c r="AA17" s="27">
        <f>'08_Forecast_BS'!AA20</f>
        <v>-37275346.360000029</v>
      </c>
      <c r="AB17" s="27">
        <f>'08_Forecast_BS'!AB20</f>
        <v>-39082200.150000036</v>
      </c>
      <c r="AC17" s="27">
        <f>'08_Forecast_BS'!AC20</f>
        <v>-41025742.930000037</v>
      </c>
      <c r="AD17" s="27">
        <f>'08_Forecast_BS'!AD20</f>
        <v>-43135908.990000047</v>
      </c>
      <c r="AE17" s="27">
        <f>'08_Forecast_BS'!AE20</f>
        <v>-45004004.590000048</v>
      </c>
      <c r="AF17" s="27">
        <f>'08_Forecast_BS'!AF20</f>
        <v>-47013896.660000049</v>
      </c>
      <c r="AG17" s="27">
        <f>'08_Forecast_BS'!AG20</f>
        <v>-49608165.960000046</v>
      </c>
      <c r="AH17" s="27">
        <f>'08_Forecast_BS'!AH20</f>
        <v>-50976379.800000049</v>
      </c>
      <c r="AI17" s="27">
        <f>'08_Forecast_BS'!AI20</f>
        <v>-53574735.740000054</v>
      </c>
      <c r="AJ17" s="27">
        <f>'08_Forecast_BS'!AJ20</f>
        <v>-56765554.340000056</v>
      </c>
      <c r="AK17" s="27">
        <f>'08_Forecast_BS'!AK20</f>
        <v>-60320623.080000058</v>
      </c>
      <c r="AL17" s="27">
        <f>'08_Forecast_BS'!AL20</f>
        <v>-62905551.120000057</v>
      </c>
      <c r="AM17" s="27">
        <f>'08_Forecast_BS'!AM20</f>
        <v>-65651456.140000068</v>
      </c>
      <c r="AN17" s="27">
        <f>'08_Forecast_BS'!AN20</f>
        <v>-68566291.310000077</v>
      </c>
      <c r="AO17" s="27">
        <f>'08_Forecast_BS'!AO20</f>
        <v>-71975267.550000072</v>
      </c>
      <c r="AP17" s="27">
        <f>'08_Forecast_BS'!AP20</f>
        <v>-76104025.710000068</v>
      </c>
      <c r="AQ17" s="27">
        <f>'08_Forecast_BS'!AQ20</f>
        <v>-81832935.700000063</v>
      </c>
      <c r="AR17" s="27">
        <f>'08_Forecast_BS'!AR20</f>
        <v>-89224362.570000067</v>
      </c>
      <c r="AS17" s="27">
        <f>'08_Forecast_BS'!AS20</f>
        <v>-92040100.451811269</v>
      </c>
      <c r="AT17" s="27">
        <f>'08_Forecast_BS'!AT20</f>
        <v>-94893828.934860557</v>
      </c>
      <c r="AU17" s="27">
        <f>'08_Forecast_BS'!AU20</f>
        <v>-97786006.590939671</v>
      </c>
      <c r="AV17" s="27">
        <f>'08_Forecast_BS'!AV20</f>
        <v>-100717097.20688452</v>
      </c>
      <c r="AW17" s="27">
        <f>'08_Forecast_BS'!AW20</f>
        <v>-103687569.84176017</v>
      </c>
      <c r="AX17" s="27">
        <f>'08_Forecast_BS'!AX20</f>
        <v>-106697898.88465813</v>
      </c>
      <c r="AY17" s="27">
        <f>'08_Forecast_BS'!AY20</f>
        <v>-109748564.113112</v>
      </c>
      <c r="AZ17" s="27">
        <f>'08_Forecast_BS'!AZ20</f>
        <v>-112840050.75213836</v>
      </c>
      <c r="BA17" s="27">
        <f>'08_Forecast_BS'!BA20</f>
        <v>-115972849.53390923</v>
      </c>
      <c r="BB17" s="27">
        <f>'08_Forecast_BS'!BB20</f>
        <v>-119147456.7580629</v>
      </c>
      <c r="BC17" s="27">
        <f>'08_Forecast_BS'!BC20</f>
        <v>-122364374.3526597</v>
      </c>
      <c r="BD17" s="27">
        <f>'08_Forecast_BS'!BD20</f>
        <v>-125624109.93578969</v>
      </c>
      <c r="BE17" s="27">
        <f>'08_Forecast_BS'!BE20</f>
        <v>-128927176.87783889</v>
      </c>
      <c r="BF17" s="27">
        <f>'08_Forecast_BS'!BF20</f>
        <v>-132274094.36442122</v>
      </c>
      <c r="BG17" s="27">
        <f>'08_Forecast_BS'!BG20</f>
        <v>-135665387.45998287</v>
      </c>
      <c r="BH17" s="27">
        <f>'08_Forecast_BS'!BH20</f>
        <v>-139101587.17208657</v>
      </c>
      <c r="BI17" s="27">
        <f>'08_Forecast_BS'!BI20</f>
        <v>-142583230.51638243</v>
      </c>
      <c r="BJ17" s="27">
        <f>'08_Forecast_BS'!BJ20</f>
        <v>-146110860.58227292</v>
      </c>
      <c r="BK17" s="27">
        <f>'08_Forecast_BS'!BK20</f>
        <v>-149685026.59927922</v>
      </c>
      <c r="BL17" s="27">
        <f>'08_Forecast_BS'!BL20</f>
        <v>-153306284.00411615</v>
      </c>
      <c r="BM17" s="27">
        <f>'08_Forecast_BS'!BM20</f>
        <v>-156975194.50848329</v>
      </c>
      <c r="BN17" s="27">
        <f>'08_Forecast_BS'!BN20</f>
        <v>-160692326.1675798</v>
      </c>
      <c r="BO17" s="27">
        <f>'08_Forecast_BS'!BO20</f>
        <v>-164458253.44935045</v>
      </c>
      <c r="BP17" s="27">
        <f>'08_Forecast_BS'!BP20</f>
        <v>-168273557.30447066</v>
      </c>
      <c r="BQ17" s="27">
        <f>'08_Forecast_BS'!BQ20</f>
        <v>-172138825.23707816</v>
      </c>
      <c r="BR17" s="27">
        <f>'08_Forecast_BS'!BR20</f>
        <v>-176054651.37625933</v>
      </c>
      <c r="BS17" s="27">
        <f>'08_Forecast_BS'!BS20</f>
        <v>-180021636.54829788</v>
      </c>
      <c r="BT17" s="27">
        <f>'08_Forecast_BS'!BT20</f>
        <v>-184040388.34969413</v>
      </c>
      <c r="BU17" s="27">
        <f>'08_Forecast_BS'!BU20</f>
        <v>-188111521.22096273</v>
      </c>
      <c r="BV17" s="27">
        <f>'08_Forecast_BS'!BV20</f>
        <v>-192235656.52121729</v>
      </c>
      <c r="BW17" s="27">
        <f>'08_Forecast_BS'!BW20</f>
        <v>-196413422.60354984</v>
      </c>
      <c r="BX17" s="27">
        <f>'08_Forecast_BS'!BX20</f>
        <v>-200645454.89121374</v>
      </c>
      <c r="BY17" s="27">
        <f>'08_Forecast_BS'!BY20</f>
        <v>-204932395.95461842</v>
      </c>
      <c r="BZ17" s="27">
        <f>'08_Forecast_BS'!BZ20</f>
        <v>-209274895.58914417</v>
      </c>
      <c r="CA17" s="27">
        <f>'08_Forecast_BS'!CA20</f>
        <v>-213673610.8937861</v>
      </c>
      <c r="CB17" s="27">
        <f>'08_Forecast_BS'!CB20</f>
        <v>-218129206.35063553</v>
      </c>
      <c r="CC17" s="27">
        <f>'08_Forecast_BS'!CC20</f>
        <v>-222642353.90520784</v>
      </c>
      <c r="CD17" s="27">
        <f>'08_Forecast_BS'!CD20</f>
        <v>-227213733.04762548</v>
      </c>
      <c r="CE17" s="27">
        <f>'08_Forecast_BS'!CE20</f>
        <v>-231844030.89466533</v>
      </c>
      <c r="CF17" s="27">
        <f>'08_Forecast_BS'!CF20</f>
        <v>-236533942.27267918</v>
      </c>
      <c r="CG17" s="27">
        <f>'08_Forecast_BS'!CG20</f>
        <v>-241284169.80139679</v>
      </c>
    </row>
    <row r="18" spans="1:85" x14ac:dyDescent="0.3">
      <c r="A18" s="26" t="s">
        <v>276</v>
      </c>
      <c r="B18" s="29">
        <f t="shared" ref="B18:AG18" si="6">B14</f>
        <v>-872919.13000000175</v>
      </c>
      <c r="C18" s="29">
        <f t="shared" si="6"/>
        <v>-1563626.4900000026</v>
      </c>
      <c r="D18" s="29">
        <f t="shared" si="6"/>
        <v>-2441847.9600000009</v>
      </c>
      <c r="E18" s="29">
        <f t="shared" si="6"/>
        <v>-1701622.3600000017</v>
      </c>
      <c r="F18" s="29">
        <f t="shared" si="6"/>
        <v>-2570856.3100000005</v>
      </c>
      <c r="G18" s="29">
        <f t="shared" si="6"/>
        <v>-1491651.8200000036</v>
      </c>
      <c r="H18" s="29">
        <f t="shared" si="6"/>
        <v>-2033014.2900000038</v>
      </c>
      <c r="I18" s="29">
        <f t="shared" si="6"/>
        <v>-1694548.2200000007</v>
      </c>
      <c r="J18" s="29">
        <f t="shared" si="6"/>
        <v>-2003674.3799999994</v>
      </c>
      <c r="K18" s="29">
        <f t="shared" si="6"/>
        <v>-1727989.3299999973</v>
      </c>
      <c r="L18" s="29">
        <f t="shared" si="6"/>
        <v>-2681819.9699999979</v>
      </c>
      <c r="M18" s="29">
        <f t="shared" si="6"/>
        <v>-2119425.2500000028</v>
      </c>
      <c r="N18" s="29">
        <f t="shared" si="6"/>
        <v>-1169936.4600000056</v>
      </c>
      <c r="O18" s="29">
        <f t="shared" si="6"/>
        <v>-2032943.4400000018</v>
      </c>
      <c r="P18" s="29">
        <f t="shared" si="6"/>
        <v>-2009101.0400000005</v>
      </c>
      <c r="Q18" s="29">
        <f t="shared" si="6"/>
        <v>-2182067.7600000016</v>
      </c>
      <c r="R18" s="29">
        <f t="shared" si="6"/>
        <v>-1220073.2000000058</v>
      </c>
      <c r="S18" s="29">
        <f t="shared" si="6"/>
        <v>-1546927.8399999989</v>
      </c>
      <c r="T18" s="29">
        <f t="shared" si="6"/>
        <v>-2180234.4499999983</v>
      </c>
      <c r="U18" s="29">
        <f t="shared" si="6"/>
        <v>-1048474.4300000016</v>
      </c>
      <c r="V18" s="29">
        <f t="shared" si="6"/>
        <v>-2140481.8399999994</v>
      </c>
      <c r="W18" s="29">
        <f t="shared" si="6"/>
        <v>-2235697.2899999991</v>
      </c>
      <c r="X18" s="29">
        <f t="shared" si="6"/>
        <v>-2942921.4800000014</v>
      </c>
      <c r="Y18" s="29">
        <f t="shared" si="6"/>
        <v>-1872527.620000002</v>
      </c>
      <c r="Z18" s="29">
        <f t="shared" si="6"/>
        <v>-1790963.9999999991</v>
      </c>
      <c r="AA18" s="29">
        <f t="shared" si="6"/>
        <v>-1806853.7900000066</v>
      </c>
      <c r="AB18" s="29">
        <f t="shared" si="6"/>
        <v>-1943542.7800000021</v>
      </c>
      <c r="AC18" s="29">
        <f t="shared" si="6"/>
        <v>-2110166.060000008</v>
      </c>
      <c r="AD18" s="29">
        <f t="shared" si="6"/>
        <v>-1868095.5999999978</v>
      </c>
      <c r="AE18" s="29">
        <f t="shared" si="6"/>
        <v>-2009892.0700000012</v>
      </c>
      <c r="AF18" s="29">
        <f t="shared" si="6"/>
        <v>-2594269.2999999998</v>
      </c>
      <c r="AG18" s="29">
        <f t="shared" si="6"/>
        <v>-1368213.8400000017</v>
      </c>
      <c r="AH18" s="29">
        <f t="shared" ref="AH18:BM18" si="7">AH14</f>
        <v>-2598355.9400000032</v>
      </c>
      <c r="AI18" s="29">
        <f t="shared" si="7"/>
        <v>-3190818.6000000024</v>
      </c>
      <c r="AJ18" s="29">
        <f t="shared" si="7"/>
        <v>-3555068.74</v>
      </c>
      <c r="AK18" s="29">
        <f t="shared" si="7"/>
        <v>-2584928.040000001</v>
      </c>
      <c r="AL18" s="29">
        <f t="shared" si="7"/>
        <v>-2745905.0200000079</v>
      </c>
      <c r="AM18" s="29">
        <f t="shared" si="7"/>
        <v>-2914835.1700000037</v>
      </c>
      <c r="AN18" s="29">
        <f t="shared" si="7"/>
        <v>-3408976.2400000012</v>
      </c>
      <c r="AO18" s="29">
        <f t="shared" si="7"/>
        <v>-4128758.1599999978</v>
      </c>
      <c r="AP18" s="29">
        <f t="shared" si="7"/>
        <v>-5728909.9900000002</v>
      </c>
      <c r="AQ18" s="29">
        <f t="shared" si="7"/>
        <v>-7391426.8700000001</v>
      </c>
      <c r="AR18" s="29">
        <f t="shared" si="7"/>
        <v>-2815737.8818111978</v>
      </c>
      <c r="AS18" s="29">
        <f t="shared" si="7"/>
        <v>-2853728.4830492875</v>
      </c>
      <c r="AT18" s="29">
        <f t="shared" si="7"/>
        <v>-2892177.6560791172</v>
      </c>
      <c r="AU18" s="29">
        <f t="shared" si="7"/>
        <v>-2931090.6159448409</v>
      </c>
      <c r="AV18" s="29">
        <f t="shared" si="7"/>
        <v>-2970472.6348756608</v>
      </c>
      <c r="AW18" s="29">
        <f t="shared" si="7"/>
        <v>-3010329.0428979592</v>
      </c>
      <c r="AX18" s="29">
        <f t="shared" si="7"/>
        <v>-3050665.2284538699</v>
      </c>
      <c r="AY18" s="29">
        <f t="shared" si="7"/>
        <v>-3091486.6390263559</v>
      </c>
      <c r="AZ18" s="29">
        <f t="shared" si="7"/>
        <v>-3132798.7817708692</v>
      </c>
      <c r="BA18" s="29">
        <f t="shared" si="7"/>
        <v>-3174607.224153663</v>
      </c>
      <c r="BB18" s="29">
        <f t="shared" si="7"/>
        <v>-3216917.5945968051</v>
      </c>
      <c r="BC18" s="29">
        <f t="shared" si="7"/>
        <v>-3259735.5831299908</v>
      </c>
      <c r="BD18" s="29">
        <f t="shared" si="7"/>
        <v>-3303066.9420492062</v>
      </c>
      <c r="BE18" s="29">
        <f t="shared" si="7"/>
        <v>-3346917.4865823165</v>
      </c>
      <c r="BF18" s="29">
        <f t="shared" si="7"/>
        <v>-3391293.095561658</v>
      </c>
      <c r="BG18" s="29">
        <f t="shared" si="7"/>
        <v>-3436199.7121037021</v>
      </c>
      <c r="BH18" s="29">
        <f t="shared" si="7"/>
        <v>-3481643.3442958584</v>
      </c>
      <c r="BI18" s="29">
        <f t="shared" si="7"/>
        <v>-3527630.065890505</v>
      </c>
      <c r="BJ18" s="29">
        <f t="shared" si="7"/>
        <v>-3574166.0170063116</v>
      </c>
      <c r="BK18" s="29">
        <f t="shared" si="7"/>
        <v>-3621257.4048369303</v>
      </c>
      <c r="BL18" s="29">
        <f t="shared" si="7"/>
        <v>-3668910.5043671411</v>
      </c>
      <c r="BM18" s="29">
        <f t="shared" si="7"/>
        <v>-3717131.6590965083</v>
      </c>
      <c r="BN18" s="29">
        <f t="shared" ref="BN18:CG18" si="8">BN14</f>
        <v>-3765927.281770654</v>
      </c>
      <c r="BO18" s="29">
        <f t="shared" si="8"/>
        <v>-3815303.855120209</v>
      </c>
      <c r="BP18" s="29">
        <f t="shared" si="8"/>
        <v>-3865267.9326075129</v>
      </c>
      <c r="BQ18" s="29">
        <f t="shared" si="8"/>
        <v>-3915826.1391811781</v>
      </c>
      <c r="BR18" s="29">
        <f t="shared" si="8"/>
        <v>-3966985.1720385598</v>
      </c>
      <c r="BS18" s="29">
        <f t="shared" si="8"/>
        <v>-4018751.8013962405</v>
      </c>
      <c r="BT18" s="29">
        <f t="shared" si="8"/>
        <v>-4071132.8712685965</v>
      </c>
      <c r="BU18" s="29">
        <f t="shared" si="8"/>
        <v>-4124135.3002545452</v>
      </c>
      <c r="BV18" s="29">
        <f t="shared" si="8"/>
        <v>-4177766.0823325375</v>
      </c>
      <c r="BW18" s="29">
        <f t="shared" si="8"/>
        <v>-4232032.2876639143</v>
      </c>
      <c r="BX18" s="29">
        <f t="shared" si="8"/>
        <v>-4286941.0634046681</v>
      </c>
      <c r="BY18" s="29">
        <f t="shared" si="8"/>
        <v>-4342499.6345257424</v>
      </c>
      <c r="BZ18" s="29">
        <f t="shared" si="8"/>
        <v>-4398715.3046419248</v>
      </c>
      <c r="CA18" s="29">
        <f t="shared" si="8"/>
        <v>-4455595.4568494363</v>
      </c>
      <c r="CB18" s="29">
        <f t="shared" si="8"/>
        <v>-4513147.5545723122</v>
      </c>
      <c r="CC18" s="29">
        <f t="shared" si="8"/>
        <v>-4571379.1424176516</v>
      </c>
      <c r="CD18" s="29">
        <f t="shared" si="8"/>
        <v>-4630297.8470398411</v>
      </c>
      <c r="CE18" s="29">
        <f t="shared" si="8"/>
        <v>-4689911.3780138362</v>
      </c>
      <c r="CF18" s="29">
        <f t="shared" si="8"/>
        <v>-4750227.5287175998</v>
      </c>
      <c r="CG18" s="29">
        <f t="shared" si="8"/>
        <v>-4811254.1772237904</v>
      </c>
    </row>
    <row r="19" spans="1:85" x14ac:dyDescent="0.3">
      <c r="A19" s="26" t="s">
        <v>265</v>
      </c>
      <c r="B19" s="27">
        <f>'08_Forecast_BS'!B26</f>
        <v>9127080.8699999973</v>
      </c>
      <c r="C19" s="27">
        <f>'08_Forecast_BS'!C26</f>
        <v>7563454.3799999952</v>
      </c>
      <c r="D19" s="27">
        <f>'08_Forecast_BS'!D26</f>
        <v>5121606.4199999943</v>
      </c>
      <c r="E19" s="27">
        <f>'08_Forecast_BS'!E26</f>
        <v>3419984.0599999926</v>
      </c>
      <c r="F19" s="27">
        <f>'08_Forecast_BS'!F26</f>
        <v>849127.74999999208</v>
      </c>
      <c r="G19" s="27">
        <f>'08_Forecast_BS'!G26</f>
        <v>-642524.07000001147</v>
      </c>
      <c r="H19" s="27">
        <f>'08_Forecast_BS'!H26</f>
        <v>-2675538.3600000152</v>
      </c>
      <c r="I19" s="27">
        <f>'08_Forecast_BS'!I26</f>
        <v>-4370086.5800000159</v>
      </c>
      <c r="J19" s="27">
        <f>'08_Forecast_BS'!J26</f>
        <v>-6373760.9600000158</v>
      </c>
      <c r="K19" s="27">
        <f>'08_Forecast_BS'!K26</f>
        <v>-8101750.2900000131</v>
      </c>
      <c r="L19" s="27">
        <f>'08_Forecast_BS'!L26</f>
        <v>-10783570.260000011</v>
      </c>
      <c r="M19" s="27">
        <f>'08_Forecast_BS'!M26</f>
        <v>-12902995.510000013</v>
      </c>
      <c r="N19" s="27">
        <f>'08_Forecast_BS'!N26</f>
        <v>-14072931.970000017</v>
      </c>
      <c r="O19" s="27">
        <f>'08_Forecast_BS'!O26</f>
        <v>-16105875.410000019</v>
      </c>
      <c r="P19" s="27">
        <f>'08_Forecast_BS'!P26</f>
        <v>-18114976.450000018</v>
      </c>
      <c r="Q19" s="27">
        <f>'08_Forecast_BS'!Q26</f>
        <v>-20297044.21000002</v>
      </c>
      <c r="R19" s="27">
        <f>'08_Forecast_BS'!R26</f>
        <v>-21517117.410000026</v>
      </c>
      <c r="S19" s="27">
        <f>'08_Forecast_BS'!S26</f>
        <v>-23064045.250000026</v>
      </c>
      <c r="T19" s="27">
        <f>'08_Forecast_BS'!T26</f>
        <v>-25244279.700000025</v>
      </c>
      <c r="U19" s="27">
        <f>'08_Forecast_BS'!U26</f>
        <v>-26292754.130000025</v>
      </c>
      <c r="V19" s="27">
        <f>'08_Forecast_BS'!V26</f>
        <v>-28433235.970000025</v>
      </c>
      <c r="W19" s="27">
        <f>'08_Forecast_BS'!W26</f>
        <v>-30668933.260000024</v>
      </c>
      <c r="X19" s="27">
        <f>'08_Forecast_BS'!X26</f>
        <v>-33611854.740000024</v>
      </c>
      <c r="Y19" s="27">
        <f>'08_Forecast_BS'!Y26</f>
        <v>-35484382.360000029</v>
      </c>
      <c r="Z19" s="27">
        <f>'08_Forecast_BS'!Z26</f>
        <v>-37275346.360000029</v>
      </c>
      <c r="AA19" s="27">
        <f>'08_Forecast_BS'!AA26</f>
        <v>-39082200.150000036</v>
      </c>
      <c r="AB19" s="27">
        <f>'08_Forecast_BS'!AB26</f>
        <v>-41025742.930000037</v>
      </c>
      <c r="AC19" s="27">
        <f>'08_Forecast_BS'!AC26</f>
        <v>-43135908.990000047</v>
      </c>
      <c r="AD19" s="27">
        <f>'08_Forecast_BS'!AD26</f>
        <v>-45004004.590000048</v>
      </c>
      <c r="AE19" s="27">
        <f>'08_Forecast_BS'!AE26</f>
        <v>-47013896.660000049</v>
      </c>
      <c r="AF19" s="27">
        <f>'08_Forecast_BS'!AF26</f>
        <v>-49608165.960000046</v>
      </c>
      <c r="AG19" s="27">
        <f>'08_Forecast_BS'!AG26</f>
        <v>-50976379.800000049</v>
      </c>
      <c r="AH19" s="27">
        <f>'08_Forecast_BS'!AH26</f>
        <v>-53574735.740000054</v>
      </c>
      <c r="AI19" s="27">
        <f>'08_Forecast_BS'!AI26</f>
        <v>-56765554.340000056</v>
      </c>
      <c r="AJ19" s="27">
        <f>'08_Forecast_BS'!AJ26</f>
        <v>-60320623.080000058</v>
      </c>
      <c r="AK19" s="27">
        <f>'08_Forecast_BS'!AK26</f>
        <v>-62905551.120000057</v>
      </c>
      <c r="AL19" s="27">
        <f>'08_Forecast_BS'!AL26</f>
        <v>-65651456.140000068</v>
      </c>
      <c r="AM19" s="27">
        <f>'08_Forecast_BS'!AM26</f>
        <v>-68566291.310000077</v>
      </c>
      <c r="AN19" s="27">
        <f>'08_Forecast_BS'!AN26</f>
        <v>-71975267.550000072</v>
      </c>
      <c r="AO19" s="27">
        <f>'08_Forecast_BS'!AO26</f>
        <v>-76104025.710000068</v>
      </c>
      <c r="AP19" s="27">
        <f>'08_Forecast_BS'!AP26</f>
        <v>-81832935.700000063</v>
      </c>
      <c r="AQ19" s="27">
        <f>'08_Forecast_BS'!AQ26</f>
        <v>-89224362.570000067</v>
      </c>
      <c r="AR19" s="27">
        <f>'08_Forecast_BS'!AR26</f>
        <v>-92040100.451811269</v>
      </c>
      <c r="AS19" s="27">
        <f>'08_Forecast_BS'!AS26</f>
        <v>-94893828.934860557</v>
      </c>
      <c r="AT19" s="27">
        <f>'08_Forecast_BS'!AT26</f>
        <v>-97786006.590939671</v>
      </c>
      <c r="AU19" s="27">
        <f>'08_Forecast_BS'!AU26</f>
        <v>-100717097.20688452</v>
      </c>
      <c r="AV19" s="27">
        <f>'08_Forecast_BS'!AV26</f>
        <v>-103687569.84176017</v>
      </c>
      <c r="AW19" s="27">
        <f>'08_Forecast_BS'!AW26</f>
        <v>-106697898.88465813</v>
      </c>
      <c r="AX19" s="27">
        <f>'08_Forecast_BS'!AX26</f>
        <v>-109748564.113112</v>
      </c>
      <c r="AY19" s="27">
        <f>'08_Forecast_BS'!AY26</f>
        <v>-112840050.75213836</v>
      </c>
      <c r="AZ19" s="27">
        <f>'08_Forecast_BS'!AZ26</f>
        <v>-115972849.53390923</v>
      </c>
      <c r="BA19" s="27">
        <f>'08_Forecast_BS'!BA26</f>
        <v>-119147456.7580629</v>
      </c>
      <c r="BB19" s="27">
        <f>'08_Forecast_BS'!BB26</f>
        <v>-122364374.3526597</v>
      </c>
      <c r="BC19" s="27">
        <f>'08_Forecast_BS'!BC26</f>
        <v>-125624109.93578969</v>
      </c>
      <c r="BD19" s="27">
        <f>'08_Forecast_BS'!BD26</f>
        <v>-128927176.87783889</v>
      </c>
      <c r="BE19" s="27">
        <f>'08_Forecast_BS'!BE26</f>
        <v>-132274094.36442122</v>
      </c>
      <c r="BF19" s="27">
        <f>'08_Forecast_BS'!BF26</f>
        <v>-135665387.45998287</v>
      </c>
      <c r="BG19" s="27">
        <f>'08_Forecast_BS'!BG26</f>
        <v>-139101587.17208657</v>
      </c>
      <c r="BH19" s="27">
        <f>'08_Forecast_BS'!BH26</f>
        <v>-142583230.51638243</v>
      </c>
      <c r="BI19" s="27">
        <f>'08_Forecast_BS'!BI26</f>
        <v>-146110860.58227292</v>
      </c>
      <c r="BJ19" s="27">
        <f>'08_Forecast_BS'!BJ26</f>
        <v>-149685026.59927922</v>
      </c>
      <c r="BK19" s="27">
        <f>'08_Forecast_BS'!BK26</f>
        <v>-153306284.00411615</v>
      </c>
      <c r="BL19" s="27">
        <f>'08_Forecast_BS'!BL26</f>
        <v>-156975194.50848329</v>
      </c>
      <c r="BM19" s="27">
        <f>'08_Forecast_BS'!BM26</f>
        <v>-160692326.1675798</v>
      </c>
      <c r="BN19" s="27">
        <f>'08_Forecast_BS'!BN26</f>
        <v>-164458253.44935045</v>
      </c>
      <c r="BO19" s="27">
        <f>'08_Forecast_BS'!BO26</f>
        <v>-168273557.30447066</v>
      </c>
      <c r="BP19" s="27">
        <f>'08_Forecast_BS'!BP26</f>
        <v>-172138825.23707816</v>
      </c>
      <c r="BQ19" s="27">
        <f>'08_Forecast_BS'!BQ26</f>
        <v>-176054651.37625933</v>
      </c>
      <c r="BR19" s="27">
        <f>'08_Forecast_BS'!BR26</f>
        <v>-180021636.54829788</v>
      </c>
      <c r="BS19" s="27">
        <f>'08_Forecast_BS'!BS26</f>
        <v>-184040388.34969413</v>
      </c>
      <c r="BT19" s="27">
        <f>'08_Forecast_BS'!BT26</f>
        <v>-188111521.22096273</v>
      </c>
      <c r="BU19" s="27">
        <f>'08_Forecast_BS'!BU26</f>
        <v>-192235656.52121729</v>
      </c>
      <c r="BV19" s="27">
        <f>'08_Forecast_BS'!BV26</f>
        <v>-196413422.60354984</v>
      </c>
      <c r="BW19" s="27">
        <f>'08_Forecast_BS'!BW26</f>
        <v>-200645454.89121374</v>
      </c>
      <c r="BX19" s="27">
        <f>'08_Forecast_BS'!BX26</f>
        <v>-204932395.95461842</v>
      </c>
      <c r="BY19" s="27">
        <f>'08_Forecast_BS'!BY26</f>
        <v>-209274895.58914417</v>
      </c>
      <c r="BZ19" s="27">
        <f>'08_Forecast_BS'!BZ26</f>
        <v>-213673610.8937861</v>
      </c>
      <c r="CA19" s="27">
        <f>'08_Forecast_BS'!CA26</f>
        <v>-218129206.35063553</v>
      </c>
      <c r="CB19" s="27">
        <f>'08_Forecast_BS'!CB26</f>
        <v>-222642353.90520784</v>
      </c>
      <c r="CC19" s="27">
        <f>'08_Forecast_BS'!CC26</f>
        <v>-227213733.04762548</v>
      </c>
      <c r="CD19" s="27">
        <f>'08_Forecast_BS'!CD26</f>
        <v>-231844030.89466533</v>
      </c>
      <c r="CE19" s="27">
        <f>'08_Forecast_BS'!CE26</f>
        <v>-236533942.27267918</v>
      </c>
      <c r="CF19" s="27">
        <f>'08_Forecast_BS'!CF26</f>
        <v>-241284169.80139679</v>
      </c>
      <c r="CG19" s="27">
        <f>'08_Forecast_BS'!CG26</f>
        <v>-246095423.97862059</v>
      </c>
    </row>
    <row r="20" spans="1:85" x14ac:dyDescent="0.3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</row>
    <row r="21" spans="1:85" x14ac:dyDescent="0.3">
      <c r="A21" s="23" t="s">
        <v>266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</row>
    <row r="22" spans="1:85" x14ac:dyDescent="0.3">
      <c r="A22" s="26" t="s">
        <v>277</v>
      </c>
      <c r="B22" s="27">
        <f>B17+B18-B19</f>
        <v>0</v>
      </c>
      <c r="C22" s="27">
        <f t="shared" ref="C22:BN22" si="9">C17+C18-C19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si="9"/>
        <v>0</v>
      </c>
      <c r="Y22" s="27">
        <f t="shared" si="9"/>
        <v>0</v>
      </c>
      <c r="Z22" s="27">
        <f t="shared" si="9"/>
        <v>0</v>
      </c>
      <c r="AA22" s="27">
        <f t="shared" si="9"/>
        <v>0</v>
      </c>
      <c r="AB22" s="27">
        <f t="shared" si="9"/>
        <v>0</v>
      </c>
      <c r="AC22" s="27">
        <f t="shared" si="9"/>
        <v>0</v>
      </c>
      <c r="AD22" s="27">
        <f t="shared" si="9"/>
        <v>0</v>
      </c>
      <c r="AE22" s="27">
        <f t="shared" si="9"/>
        <v>0</v>
      </c>
      <c r="AF22" s="27">
        <f t="shared" si="9"/>
        <v>0</v>
      </c>
      <c r="AG22" s="27">
        <f t="shared" si="9"/>
        <v>0</v>
      </c>
      <c r="AH22" s="27">
        <f t="shared" si="9"/>
        <v>0</v>
      </c>
      <c r="AI22" s="27">
        <f t="shared" si="9"/>
        <v>0</v>
      </c>
      <c r="AJ22" s="27">
        <f t="shared" si="9"/>
        <v>0</v>
      </c>
      <c r="AK22" s="27">
        <f t="shared" si="9"/>
        <v>0</v>
      </c>
      <c r="AL22" s="27">
        <f t="shared" si="9"/>
        <v>0</v>
      </c>
      <c r="AM22" s="27">
        <f t="shared" si="9"/>
        <v>0</v>
      </c>
      <c r="AN22" s="27">
        <f t="shared" si="9"/>
        <v>0</v>
      </c>
      <c r="AO22" s="27">
        <f t="shared" si="9"/>
        <v>0</v>
      </c>
      <c r="AP22" s="27">
        <f t="shared" si="9"/>
        <v>0</v>
      </c>
      <c r="AQ22" s="27">
        <f t="shared" si="9"/>
        <v>0</v>
      </c>
      <c r="AR22" s="27">
        <f t="shared" si="9"/>
        <v>0</v>
      </c>
      <c r="AS22" s="27">
        <f t="shared" si="9"/>
        <v>0</v>
      </c>
      <c r="AT22" s="27">
        <f t="shared" si="9"/>
        <v>0</v>
      </c>
      <c r="AU22" s="27">
        <f t="shared" si="9"/>
        <v>0</v>
      </c>
      <c r="AV22" s="27">
        <f t="shared" si="9"/>
        <v>0</v>
      </c>
      <c r="AW22" s="27">
        <f t="shared" si="9"/>
        <v>0</v>
      </c>
      <c r="AX22" s="27">
        <f t="shared" si="9"/>
        <v>0</v>
      </c>
      <c r="AY22" s="27">
        <f t="shared" si="9"/>
        <v>0</v>
      </c>
      <c r="AZ22" s="27">
        <f t="shared" si="9"/>
        <v>0</v>
      </c>
      <c r="BA22" s="27">
        <f t="shared" si="9"/>
        <v>0</v>
      </c>
      <c r="BB22" s="27">
        <f t="shared" si="9"/>
        <v>0</v>
      </c>
      <c r="BC22" s="27">
        <f t="shared" si="9"/>
        <v>0</v>
      </c>
      <c r="BD22" s="27">
        <f t="shared" si="9"/>
        <v>0</v>
      </c>
      <c r="BE22" s="27">
        <f t="shared" si="9"/>
        <v>0</v>
      </c>
      <c r="BF22" s="27">
        <f t="shared" si="9"/>
        <v>0</v>
      </c>
      <c r="BG22" s="27">
        <f t="shared" si="9"/>
        <v>0</v>
      </c>
      <c r="BH22" s="27">
        <f t="shared" si="9"/>
        <v>0</v>
      </c>
      <c r="BI22" s="27">
        <f t="shared" si="9"/>
        <v>0</v>
      </c>
      <c r="BJ22" s="27">
        <f t="shared" si="9"/>
        <v>0</v>
      </c>
      <c r="BK22" s="27">
        <f t="shared" si="9"/>
        <v>0</v>
      </c>
      <c r="BL22" s="27">
        <f t="shared" si="9"/>
        <v>0</v>
      </c>
      <c r="BM22" s="27">
        <f t="shared" si="9"/>
        <v>0</v>
      </c>
      <c r="BN22" s="27">
        <f t="shared" si="9"/>
        <v>0</v>
      </c>
      <c r="BO22" s="27">
        <f t="shared" ref="BO22:CG22" si="10">BO17+BO18-BO19</f>
        <v>0</v>
      </c>
      <c r="BP22" s="27">
        <f t="shared" si="10"/>
        <v>0</v>
      </c>
      <c r="BQ22" s="27">
        <f t="shared" si="10"/>
        <v>0</v>
      </c>
      <c r="BR22" s="27">
        <f t="shared" si="10"/>
        <v>0</v>
      </c>
      <c r="BS22" s="27">
        <f t="shared" si="10"/>
        <v>0</v>
      </c>
      <c r="BT22" s="27">
        <f t="shared" si="10"/>
        <v>0</v>
      </c>
      <c r="BU22" s="27">
        <f t="shared" si="10"/>
        <v>0</v>
      </c>
      <c r="BV22" s="27">
        <f t="shared" si="10"/>
        <v>0</v>
      </c>
      <c r="BW22" s="27">
        <f t="shared" si="10"/>
        <v>0</v>
      </c>
      <c r="BX22" s="27">
        <f t="shared" si="10"/>
        <v>0</v>
      </c>
      <c r="BY22" s="27">
        <f t="shared" si="10"/>
        <v>0</v>
      </c>
      <c r="BZ22" s="27">
        <f t="shared" si="10"/>
        <v>0</v>
      </c>
      <c r="CA22" s="27">
        <f t="shared" si="10"/>
        <v>0</v>
      </c>
      <c r="CB22" s="27">
        <f t="shared" si="10"/>
        <v>0</v>
      </c>
      <c r="CC22" s="27">
        <f t="shared" si="10"/>
        <v>0</v>
      </c>
      <c r="CD22" s="27">
        <f t="shared" si="10"/>
        <v>0</v>
      </c>
      <c r="CE22" s="27">
        <f t="shared" si="10"/>
        <v>0</v>
      </c>
      <c r="CF22" s="27">
        <f t="shared" si="10"/>
        <v>0</v>
      </c>
      <c r="CG22" s="27">
        <f t="shared" si="10"/>
        <v>0</v>
      </c>
    </row>
    <row r="23" spans="1:85" x14ac:dyDescent="0.3">
      <c r="A23" s="26" t="s">
        <v>272</v>
      </c>
      <c r="B23" s="29">
        <v>0</v>
      </c>
      <c r="C23" s="29">
        <f>C17-B19</f>
        <v>0</v>
      </c>
      <c r="D23" s="29">
        <f t="shared" ref="D23:BO23" si="11">D17-C19</f>
        <v>0</v>
      </c>
      <c r="E23" s="29">
        <f t="shared" si="11"/>
        <v>0</v>
      </c>
      <c r="F23" s="29">
        <f t="shared" si="11"/>
        <v>0</v>
      </c>
      <c r="G23" s="29">
        <f t="shared" si="11"/>
        <v>0</v>
      </c>
      <c r="H23" s="29">
        <f t="shared" si="11"/>
        <v>0</v>
      </c>
      <c r="I23" s="29">
        <f t="shared" si="11"/>
        <v>0</v>
      </c>
      <c r="J23" s="29">
        <f t="shared" si="11"/>
        <v>0</v>
      </c>
      <c r="K23" s="29">
        <f t="shared" si="11"/>
        <v>0</v>
      </c>
      <c r="L23" s="29">
        <f t="shared" si="11"/>
        <v>0</v>
      </c>
      <c r="M23" s="29">
        <f t="shared" si="11"/>
        <v>0</v>
      </c>
      <c r="N23" s="29">
        <f t="shared" si="11"/>
        <v>0</v>
      </c>
      <c r="O23" s="29">
        <f t="shared" si="11"/>
        <v>0</v>
      </c>
      <c r="P23" s="29">
        <f t="shared" si="11"/>
        <v>0</v>
      </c>
      <c r="Q23" s="29">
        <f t="shared" si="11"/>
        <v>0</v>
      </c>
      <c r="R23" s="29">
        <f t="shared" si="11"/>
        <v>0</v>
      </c>
      <c r="S23" s="29">
        <f t="shared" si="11"/>
        <v>0</v>
      </c>
      <c r="T23" s="29">
        <f t="shared" si="11"/>
        <v>0</v>
      </c>
      <c r="U23" s="29">
        <f t="shared" si="11"/>
        <v>0</v>
      </c>
      <c r="V23" s="29">
        <f t="shared" si="11"/>
        <v>0</v>
      </c>
      <c r="W23" s="29">
        <f t="shared" si="11"/>
        <v>0</v>
      </c>
      <c r="X23" s="29">
        <f t="shared" si="11"/>
        <v>0</v>
      </c>
      <c r="Y23" s="29">
        <f t="shared" si="11"/>
        <v>0</v>
      </c>
      <c r="Z23" s="29">
        <f t="shared" si="11"/>
        <v>0</v>
      </c>
      <c r="AA23" s="29">
        <f t="shared" si="11"/>
        <v>0</v>
      </c>
      <c r="AB23" s="29">
        <f t="shared" si="11"/>
        <v>0</v>
      </c>
      <c r="AC23" s="29">
        <f t="shared" si="11"/>
        <v>0</v>
      </c>
      <c r="AD23" s="29">
        <f t="shared" si="11"/>
        <v>0</v>
      </c>
      <c r="AE23" s="29">
        <f t="shared" si="11"/>
        <v>0</v>
      </c>
      <c r="AF23" s="29">
        <f t="shared" si="11"/>
        <v>0</v>
      </c>
      <c r="AG23" s="29">
        <f t="shared" si="11"/>
        <v>0</v>
      </c>
      <c r="AH23" s="29">
        <f t="shared" si="11"/>
        <v>0</v>
      </c>
      <c r="AI23" s="29">
        <f t="shared" si="11"/>
        <v>0</v>
      </c>
      <c r="AJ23" s="29">
        <f t="shared" si="11"/>
        <v>0</v>
      </c>
      <c r="AK23" s="29">
        <f t="shared" si="11"/>
        <v>0</v>
      </c>
      <c r="AL23" s="29">
        <f t="shared" si="11"/>
        <v>0</v>
      </c>
      <c r="AM23" s="29">
        <f t="shared" si="11"/>
        <v>0</v>
      </c>
      <c r="AN23" s="29">
        <f t="shared" si="11"/>
        <v>0</v>
      </c>
      <c r="AO23" s="29">
        <f t="shared" si="11"/>
        <v>0</v>
      </c>
      <c r="AP23" s="29">
        <f t="shared" si="11"/>
        <v>0</v>
      </c>
      <c r="AQ23" s="29">
        <f t="shared" si="11"/>
        <v>0</v>
      </c>
      <c r="AR23" s="29">
        <f t="shared" si="11"/>
        <v>0</v>
      </c>
      <c r="AS23" s="29">
        <f t="shared" si="11"/>
        <v>0</v>
      </c>
      <c r="AT23" s="29">
        <f t="shared" si="11"/>
        <v>0</v>
      </c>
      <c r="AU23" s="29">
        <f t="shared" si="11"/>
        <v>0</v>
      </c>
      <c r="AV23" s="29">
        <f t="shared" si="11"/>
        <v>0</v>
      </c>
      <c r="AW23" s="29">
        <f t="shared" si="11"/>
        <v>0</v>
      </c>
      <c r="AX23" s="29">
        <f t="shared" si="11"/>
        <v>0</v>
      </c>
      <c r="AY23" s="29">
        <f t="shared" si="11"/>
        <v>0</v>
      </c>
      <c r="AZ23" s="29">
        <f t="shared" si="11"/>
        <v>0</v>
      </c>
      <c r="BA23" s="29">
        <f t="shared" si="11"/>
        <v>0</v>
      </c>
      <c r="BB23" s="29">
        <f t="shared" si="11"/>
        <v>0</v>
      </c>
      <c r="BC23" s="29">
        <f t="shared" si="11"/>
        <v>0</v>
      </c>
      <c r="BD23" s="29">
        <f t="shared" si="11"/>
        <v>0</v>
      </c>
      <c r="BE23" s="29">
        <f t="shared" si="11"/>
        <v>0</v>
      </c>
      <c r="BF23" s="29">
        <f t="shared" si="11"/>
        <v>0</v>
      </c>
      <c r="BG23" s="29">
        <f t="shared" si="11"/>
        <v>0</v>
      </c>
      <c r="BH23" s="29">
        <f t="shared" si="11"/>
        <v>0</v>
      </c>
      <c r="BI23" s="29">
        <f t="shared" si="11"/>
        <v>0</v>
      </c>
      <c r="BJ23" s="29">
        <f t="shared" si="11"/>
        <v>0</v>
      </c>
      <c r="BK23" s="29">
        <f t="shared" si="11"/>
        <v>0</v>
      </c>
      <c r="BL23" s="29">
        <f t="shared" si="11"/>
        <v>0</v>
      </c>
      <c r="BM23" s="29">
        <f t="shared" si="11"/>
        <v>0</v>
      </c>
      <c r="BN23" s="29">
        <f t="shared" si="11"/>
        <v>0</v>
      </c>
      <c r="BO23" s="29">
        <f t="shared" si="11"/>
        <v>0</v>
      </c>
      <c r="BP23" s="29">
        <f t="shared" ref="BP23:CG23" si="12">BP17-BO19</f>
        <v>0</v>
      </c>
      <c r="BQ23" s="29">
        <f t="shared" si="12"/>
        <v>0</v>
      </c>
      <c r="BR23" s="29">
        <f t="shared" si="12"/>
        <v>0</v>
      </c>
      <c r="BS23" s="29">
        <f t="shared" si="12"/>
        <v>0</v>
      </c>
      <c r="BT23" s="29">
        <f t="shared" si="12"/>
        <v>0</v>
      </c>
      <c r="BU23" s="29">
        <f t="shared" si="12"/>
        <v>0</v>
      </c>
      <c r="BV23" s="29">
        <f t="shared" si="12"/>
        <v>0</v>
      </c>
      <c r="BW23" s="29">
        <f t="shared" si="12"/>
        <v>0</v>
      </c>
      <c r="BX23" s="29">
        <f t="shared" si="12"/>
        <v>0</v>
      </c>
      <c r="BY23" s="29">
        <f t="shared" si="12"/>
        <v>0</v>
      </c>
      <c r="BZ23" s="29">
        <f t="shared" si="12"/>
        <v>0</v>
      </c>
      <c r="CA23" s="29">
        <f t="shared" si="12"/>
        <v>0</v>
      </c>
      <c r="CB23" s="29">
        <f t="shared" si="12"/>
        <v>0</v>
      </c>
      <c r="CC23" s="29">
        <f t="shared" si="12"/>
        <v>0</v>
      </c>
      <c r="CD23" s="29">
        <f t="shared" si="12"/>
        <v>0</v>
      </c>
      <c r="CE23" s="29">
        <f t="shared" si="12"/>
        <v>0</v>
      </c>
      <c r="CF23" s="29">
        <f t="shared" si="12"/>
        <v>0</v>
      </c>
      <c r="CG23" s="29">
        <f t="shared" si="12"/>
        <v>0</v>
      </c>
    </row>
    <row r="24" spans="1:85" ht="15" thickBot="1" x14ac:dyDescent="0.35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97"/>
      <c r="CF24" s="97"/>
      <c r="CG24" s="97"/>
    </row>
    <row r="25" spans="1:85" ht="15" thickTop="1" x14ac:dyDescent="0.3">
      <c r="A25" s="99" t="s">
        <v>278</v>
      </c>
      <c r="B25" s="100"/>
      <c r="C25" s="100"/>
      <c r="D25" s="100"/>
      <c r="E25" s="100"/>
      <c r="F25" s="100"/>
      <c r="G25" s="100"/>
      <c r="H25" s="101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</row>
    <row r="26" spans="1:85" x14ac:dyDescent="0.3">
      <c r="A26" s="102"/>
      <c r="B26" s="103">
        <v>2023</v>
      </c>
      <c r="C26" s="103">
        <v>2024</v>
      </c>
      <c r="D26" s="103">
        <v>2025</v>
      </c>
      <c r="E26" s="103">
        <v>2026</v>
      </c>
      <c r="F26" s="103">
        <v>2027</v>
      </c>
      <c r="G26" s="103">
        <v>2028</v>
      </c>
      <c r="H26" s="104">
        <v>2029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97"/>
      <c r="CG26" s="97"/>
    </row>
    <row r="27" spans="1:85" x14ac:dyDescent="0.3">
      <c r="A27" s="105" t="s">
        <v>253</v>
      </c>
      <c r="B27" s="106" t="str" cm="1">
        <f t="array" ref="B27">IF(SUMPRODUCT(('05_Monthly_Model'!$B$6:$CG$6=B$26)*($B$5:$CG$5="Forecast"))=0,"Actual",IF(SUMPRODUCT(('05_Monthly_Model'!$B$6:$CG$6=B$26)*($B$5:$CG$5="Actual"))=0,"Forecast","Blended"))</f>
        <v>Actual</v>
      </c>
      <c r="C27" s="106" t="str" cm="1">
        <f t="array" ref="C27">IF(SUMPRODUCT(('05_Monthly_Model'!$B$6:$CG$6=C$26)*($B$5:$CG$5="Forecast"))=0,"Actual",IF(SUMPRODUCT(('05_Monthly_Model'!$B$6:$CG$6=C$26)*($B$5:$CG$5="Actual"))=0,"Forecast","Blended"))</f>
        <v>Actual</v>
      </c>
      <c r="D27" s="106" t="str" cm="1">
        <f t="array" ref="D27">IF(SUMPRODUCT(('05_Monthly_Model'!$B$6:$CG$6=D$26)*($B$5:$CG$5="Forecast"))=0,"Actual",IF(SUMPRODUCT(('05_Monthly_Model'!$B$6:$CG$6=D$26)*($B$5:$CG$5="Actual"))=0,"Forecast","Blended"))</f>
        <v>Actual</v>
      </c>
      <c r="E27" s="106" t="str" cm="1">
        <f t="array" ref="E27">IF(SUMPRODUCT(('05_Monthly_Model'!$B$6:$CG$6=E$26)*($B$5:$CG$5="Forecast"))=0,"Actual",IF(SUMPRODUCT(('05_Monthly_Model'!$B$6:$CG$6=E$26)*($B$5:$CG$5="Actual"))=0,"Forecast","Blended"))</f>
        <v>Actual</v>
      </c>
      <c r="F27" s="106" t="str" cm="1">
        <f t="array" ref="F27">IF(SUMPRODUCT(('05_Monthly_Model'!$B$6:$CG$6=F$26)*($B$5:$CG$5="Forecast"))=0,"Actual",IF(SUMPRODUCT(('05_Monthly_Model'!$B$6:$CG$6=F$26)*($B$5:$CG$5="Actual"))=0,"Forecast","Blended"))</f>
        <v>Actual</v>
      </c>
      <c r="G27" s="106" t="str" cm="1">
        <f t="array" ref="G27">IF(SUMPRODUCT(('05_Monthly_Model'!$B$6:$CG$6=G$26)*($B$5:$CG$5="Forecast"))=0,"Actual",IF(SUMPRODUCT(('05_Monthly_Model'!$B$6:$CG$6=G$26)*($B$5:$CG$5="Actual"))=0,"Forecast","Blended"))</f>
        <v>Actual</v>
      </c>
      <c r="H27" s="107" t="str" cm="1">
        <f t="array" ref="H27">IF(SUMPRODUCT(('05_Monthly_Model'!$B$6:$CG$6=H$26)*($B$5:$CG$5="Forecast"))=0,"Actual",IF(SUMPRODUCT(('05_Monthly_Model'!$B$6:$CG$6=H$26)*($B$5:$CG$5="Actual"))=0,"Forecast","Blended"))</f>
        <v>Actual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</row>
    <row r="28" spans="1:85" x14ac:dyDescent="0.3">
      <c r="A28" s="23" t="s">
        <v>274</v>
      </c>
      <c r="B28" s="23"/>
      <c r="C28" s="23"/>
      <c r="D28" s="23"/>
      <c r="E28" s="23"/>
      <c r="F28" s="23"/>
      <c r="G28" s="23"/>
      <c r="H28" s="11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</row>
    <row r="29" spans="1:85" x14ac:dyDescent="0.3">
      <c r="A29" s="26" t="s">
        <v>275</v>
      </c>
      <c r="B29" s="27">
        <f>SUMIFS($B$11:$CG$11,$B$5:$CG$5,"&gt;="&amp;DATE(B$26,1,1),$B$5:$CG$5,"&lt;="&amp;DATE(B$26,12,1))</f>
        <v>43455105.019999996</v>
      </c>
      <c r="C29" s="27">
        <f t="shared" ref="C29:H29" si="13">SUMIFS($B$11:$CG$11,$B$5:$CG$5,"&gt;="&amp;DATE(C$26,1,1),$B$5:$CG$5,"&lt;="&amp;DATE(C$26,12,1))</f>
        <v>54639238.299999982</v>
      </c>
      <c r="D29" s="27">
        <f t="shared" si="13"/>
        <v>63485822.749999978</v>
      </c>
      <c r="E29" s="27">
        <f t="shared" si="13"/>
        <v>53379766.238477007</v>
      </c>
      <c r="F29" s="27">
        <f t="shared" si="13"/>
        <v>65562297.761936262</v>
      </c>
      <c r="G29" s="27">
        <f t="shared" si="13"/>
        <v>72140733.07639797</v>
      </c>
      <c r="H29" s="120">
        <f t="shared" si="13"/>
        <v>79379239.997008964</v>
      </c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</row>
    <row r="30" spans="1:85" x14ac:dyDescent="0.3">
      <c r="A30" s="26" t="s">
        <v>141</v>
      </c>
      <c r="B30" s="29">
        <f>SUMIFS($B$12:$CG$12,$B$5:$CG$5,"&gt;="&amp;DATE(B$26,1,1),$B$5:$CG$5,"&lt;="&amp;DATE(B$26,12,1))</f>
        <v>6036027.5399999991</v>
      </c>
      <c r="C30" s="29">
        <f t="shared" ref="C30:H30" si="14">SUMIFS($B$12:$CG$12,$B$5:$CG$5,"&gt;="&amp;DATE(C$26,1,1),$B$5:$CG$5,"&lt;="&amp;DATE(C$26,12,1))</f>
        <v>5788695.080000001</v>
      </c>
      <c r="D30" s="29">
        <f t="shared" si="14"/>
        <v>6754386.4900000002</v>
      </c>
      <c r="E30" s="29">
        <f t="shared" si="14"/>
        <v>3874844.8004309121</v>
      </c>
      <c r="F30" s="29">
        <f t="shared" si="14"/>
        <v>876711.97379063035</v>
      </c>
      <c r="G30" s="29">
        <f t="shared" si="14"/>
        <v>964680.10800608655</v>
      </c>
      <c r="H30" s="114">
        <f t="shared" si="14"/>
        <v>1061474.8498973681</v>
      </c>
      <c r="I30" s="97"/>
      <c r="J30" s="97"/>
      <c r="K30" s="97"/>
      <c r="L30" s="192"/>
      <c r="M30" s="171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7"/>
    </row>
    <row r="31" spans="1:85" x14ac:dyDescent="0.3">
      <c r="A31" s="26" t="s">
        <v>263</v>
      </c>
      <c r="B31" s="27">
        <f>SUMIFS($B$13:$CG$13,$B$5:$CG$5,"&gt;="&amp;DATE(B$26,1,1),$B$5:$CG$5,"&lt;="&amp;DATE(B$26,12,1))</f>
        <v>60322072.990000002</v>
      </c>
      <c r="C31" s="27">
        <f t="shared" ref="C31:H31" si="15">SUMIFS($B$13:$CG$13,$B$5:$CG$5,"&gt;="&amp;DATE(C$26,1,1),$B$5:$CG$5,"&lt;="&amp;DATE(C$26,12,1))</f>
        <v>71431930.069999993</v>
      </c>
      <c r="D31" s="27">
        <f t="shared" si="15"/>
        <v>84152605.019999996</v>
      </c>
      <c r="E31" s="27">
        <f t="shared" si="15"/>
        <v>93297269.202704147</v>
      </c>
      <c r="F31" s="27">
        <f t="shared" si="15"/>
        <v>104098547.48576042</v>
      </c>
      <c r="G31" s="27">
        <f t="shared" si="15"/>
        <v>117300848.90733631</v>
      </c>
      <c r="H31" s="113">
        <f t="shared" si="15"/>
        <v>132177532.60451484</v>
      </c>
      <c r="I31" s="97"/>
      <c r="J31" s="97"/>
      <c r="K31" s="97"/>
      <c r="L31" s="189"/>
      <c r="M31" s="172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</row>
    <row r="32" spans="1:85" x14ac:dyDescent="0.3">
      <c r="A32" s="26" t="s">
        <v>276</v>
      </c>
      <c r="B32" s="29">
        <f>B29-B30-B31</f>
        <v>-22902995.510000005</v>
      </c>
      <c r="C32" s="29">
        <f t="shared" ref="C32:H32" si="16">C29-C30-C31</f>
        <v>-22581386.850000009</v>
      </c>
      <c r="D32" s="29">
        <f t="shared" si="16"/>
        <v>-27421168.76000002</v>
      </c>
      <c r="E32" s="29">
        <f t="shared" si="16"/>
        <v>-43792347.764658049</v>
      </c>
      <c r="F32" s="29">
        <f t="shared" si="16"/>
        <v>-39412961.697614789</v>
      </c>
      <c r="G32" s="29">
        <f t="shared" si="16"/>
        <v>-46124795.938944429</v>
      </c>
      <c r="H32" s="114">
        <f t="shared" si="16"/>
        <v>-53859767.457403243</v>
      </c>
      <c r="I32" s="97"/>
      <c r="J32" s="97"/>
      <c r="K32" s="97"/>
      <c r="L32" s="189"/>
      <c r="M32" s="172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</row>
    <row r="33" spans="1:85" x14ac:dyDescent="0.3">
      <c r="A33" s="96"/>
      <c r="B33" s="97"/>
      <c r="C33" s="97"/>
      <c r="D33" s="97"/>
      <c r="E33" s="97"/>
      <c r="F33" s="97"/>
      <c r="G33" s="97"/>
      <c r="H33" s="190"/>
      <c r="I33" s="97"/>
      <c r="J33" s="97"/>
      <c r="K33" s="97"/>
      <c r="L33" s="189"/>
      <c r="M33" s="172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</row>
    <row r="34" spans="1:85" x14ac:dyDescent="0.3">
      <c r="A34" s="23" t="s">
        <v>261</v>
      </c>
      <c r="B34" s="23"/>
      <c r="C34" s="23"/>
      <c r="D34" s="23"/>
      <c r="E34" s="23"/>
      <c r="F34" s="23"/>
      <c r="G34" s="23"/>
      <c r="H34" s="117"/>
      <c r="I34" s="97"/>
      <c r="J34" s="97"/>
      <c r="K34" s="97"/>
      <c r="L34" s="189"/>
      <c r="M34" s="172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</row>
    <row r="35" spans="1:85" x14ac:dyDescent="0.3">
      <c r="A35" s="26" t="s">
        <v>262</v>
      </c>
      <c r="B35" s="27">
        <f>_xlfn.XLOOKUP(DATE(B$26,1,1),$B$5:$CG$5,$B$17:$CG$17)</f>
        <v>10000000</v>
      </c>
      <c r="C35" s="27">
        <f t="shared" ref="C35:H35" si="17">_xlfn.XLOOKUP(DATE(C$26,1,1),$B$5:$CG$5,$B$17:$CG$17)</f>
        <v>-12902995.510000013</v>
      </c>
      <c r="D35" s="27">
        <f t="shared" si="17"/>
        <v>-35484382.360000029</v>
      </c>
      <c r="E35" s="27">
        <f t="shared" si="17"/>
        <v>-62905551.120000057</v>
      </c>
      <c r="F35" s="27">
        <f t="shared" si="17"/>
        <v>-106697898.88465813</v>
      </c>
      <c r="G35" s="27">
        <f t="shared" si="17"/>
        <v>-146110860.58227292</v>
      </c>
      <c r="H35" s="113">
        <f t="shared" si="17"/>
        <v>-192235656.52121729</v>
      </c>
      <c r="I35" s="97"/>
      <c r="J35" s="97"/>
      <c r="K35" s="97"/>
      <c r="L35" s="189"/>
      <c r="M35" s="172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</row>
    <row r="36" spans="1:85" x14ac:dyDescent="0.3">
      <c r="A36" s="26" t="s">
        <v>276</v>
      </c>
      <c r="B36" s="29">
        <f>B32</f>
        <v>-22902995.510000005</v>
      </c>
      <c r="C36" s="29">
        <f t="shared" ref="C36:H36" si="18">C32</f>
        <v>-22581386.850000009</v>
      </c>
      <c r="D36" s="29">
        <f t="shared" si="18"/>
        <v>-27421168.76000002</v>
      </c>
      <c r="E36" s="29">
        <f t="shared" si="18"/>
        <v>-43792347.764658049</v>
      </c>
      <c r="F36" s="29">
        <f t="shared" si="18"/>
        <v>-39412961.697614789</v>
      </c>
      <c r="G36" s="29">
        <f t="shared" si="18"/>
        <v>-46124795.938944429</v>
      </c>
      <c r="H36" s="133">
        <f t="shared" si="18"/>
        <v>-53859767.457403243</v>
      </c>
      <c r="I36" s="97"/>
      <c r="J36" s="97"/>
      <c r="K36" s="97"/>
      <c r="L36" s="189"/>
      <c r="M36" s="172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</row>
    <row r="37" spans="1:85" x14ac:dyDescent="0.3">
      <c r="A37" s="26" t="s">
        <v>265</v>
      </c>
      <c r="B37" s="27">
        <f>_xlfn.XLOOKUP(DATE(B$26,12,1),$B$5:$CG$5,$B$19:$CG$19)</f>
        <v>-12902995.510000013</v>
      </c>
      <c r="C37" s="27">
        <f t="shared" ref="C37:H37" si="19">_xlfn.XLOOKUP(DATE(C$26,12,1),$B$5:$CG$5,$B$19:$CG$19)</f>
        <v>-35484382.360000029</v>
      </c>
      <c r="D37" s="27">
        <f t="shared" si="19"/>
        <v>-62905551.120000057</v>
      </c>
      <c r="E37" s="27">
        <f t="shared" si="19"/>
        <v>-106697898.88465813</v>
      </c>
      <c r="F37" s="27">
        <f t="shared" si="19"/>
        <v>-146110860.58227292</v>
      </c>
      <c r="G37" s="27">
        <f t="shared" si="19"/>
        <v>-192235656.52121729</v>
      </c>
      <c r="H37" s="113">
        <f t="shared" si="19"/>
        <v>-246095423.97862059</v>
      </c>
      <c r="I37" s="97"/>
      <c r="J37" s="97"/>
      <c r="K37" s="97"/>
      <c r="L37" s="189"/>
      <c r="M37" s="172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</row>
    <row r="38" spans="1:85" x14ac:dyDescent="0.3">
      <c r="A38" s="96"/>
      <c r="B38" s="97"/>
      <c r="C38" s="97"/>
      <c r="D38" s="97"/>
      <c r="E38" s="97"/>
      <c r="F38" s="97"/>
      <c r="G38" s="97"/>
      <c r="H38" s="190"/>
      <c r="I38" s="97"/>
      <c r="J38" s="97"/>
      <c r="K38" s="97"/>
      <c r="L38" s="189"/>
      <c r="M38" s="172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</row>
    <row r="39" spans="1:85" x14ac:dyDescent="0.3">
      <c r="A39" s="23" t="s">
        <v>266</v>
      </c>
      <c r="B39" s="23"/>
      <c r="C39" s="23"/>
      <c r="D39" s="23"/>
      <c r="E39" s="23"/>
      <c r="F39" s="23"/>
      <c r="G39" s="23"/>
      <c r="H39" s="117"/>
      <c r="I39" s="97"/>
      <c r="J39" s="97"/>
      <c r="K39" s="97"/>
      <c r="L39" s="189"/>
      <c r="M39" s="172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</row>
    <row r="40" spans="1:85" x14ac:dyDescent="0.3">
      <c r="A40" s="26" t="s">
        <v>277</v>
      </c>
      <c r="B40" s="27">
        <f>B35+B36-B37</f>
        <v>0</v>
      </c>
      <c r="C40" s="27">
        <f t="shared" ref="C40:H40" si="20">C35+C36-C37</f>
        <v>0</v>
      </c>
      <c r="D40" s="27">
        <f t="shared" si="20"/>
        <v>0</v>
      </c>
      <c r="E40" s="27">
        <f t="shared" si="20"/>
        <v>0</v>
      </c>
      <c r="F40" s="27">
        <f t="shared" si="20"/>
        <v>0</v>
      </c>
      <c r="G40" s="27">
        <f t="shared" si="20"/>
        <v>0</v>
      </c>
      <c r="H40" s="120">
        <f t="shared" si="20"/>
        <v>0</v>
      </c>
      <c r="I40" s="97"/>
      <c r="J40" s="97"/>
      <c r="K40" s="97"/>
      <c r="L40" s="189"/>
      <c r="M40" s="172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</row>
    <row r="41" spans="1:85" x14ac:dyDescent="0.3">
      <c r="A41" s="26" t="s">
        <v>272</v>
      </c>
      <c r="B41" s="29">
        <v>0</v>
      </c>
      <c r="C41" s="29">
        <f>C35-B37</f>
        <v>0</v>
      </c>
      <c r="D41" s="29">
        <f t="shared" ref="D41:H41" si="21">D35-C37</f>
        <v>0</v>
      </c>
      <c r="E41" s="29">
        <f t="shared" si="21"/>
        <v>0</v>
      </c>
      <c r="F41" s="29">
        <f t="shared" si="21"/>
        <v>0</v>
      </c>
      <c r="G41" s="29">
        <f t="shared" si="21"/>
        <v>0</v>
      </c>
      <c r="H41" s="114">
        <f t="shared" si="21"/>
        <v>0</v>
      </c>
      <c r="I41" s="97"/>
      <c r="J41" s="97"/>
      <c r="K41" s="97"/>
      <c r="L41" s="189"/>
      <c r="M41" s="172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</row>
    <row r="42" spans="1:85" x14ac:dyDescent="0.3">
      <c r="L42" s="109"/>
      <c r="M42" s="1"/>
    </row>
    <row r="43" spans="1:85" x14ac:dyDescent="0.3">
      <c r="L43" s="109"/>
      <c r="M43" s="1"/>
    </row>
    <row r="44" spans="1:85" x14ac:dyDescent="0.3">
      <c r="L44" s="109"/>
      <c r="M44" s="1"/>
    </row>
    <row r="45" spans="1:85" x14ac:dyDescent="0.3">
      <c r="L45" s="109"/>
      <c r="M45" s="1"/>
    </row>
    <row r="46" spans="1:85" x14ac:dyDescent="0.3">
      <c r="L46" s="109"/>
      <c r="M46" s="1"/>
    </row>
    <row r="47" spans="1:85" x14ac:dyDescent="0.3">
      <c r="L47" s="109"/>
      <c r="M47" s="1"/>
    </row>
  </sheetData>
  <mergeCells count="2">
    <mergeCell ref="A1:CG1"/>
    <mergeCell ref="A2:CG2"/>
  </mergeCells>
  <conditionalFormatting sqref="A6:CG6">
    <cfRule type="expression" dxfId="127" priority="14">
      <formula>A6="Forecast"</formula>
    </cfRule>
    <cfRule type="expression" dxfId="126" priority="15">
      <formula>A6="Actual"</formula>
    </cfRule>
  </conditionalFormatting>
  <conditionalFormatting sqref="B25:H27">
    <cfRule type="cellIs" dxfId="125" priority="12" operator="lessThan">
      <formula>0</formula>
    </cfRule>
  </conditionalFormatting>
  <conditionalFormatting sqref="B29:H32">
    <cfRule type="cellIs" dxfId="124" priority="3" operator="lessThan">
      <formula>0</formula>
    </cfRule>
  </conditionalFormatting>
  <conditionalFormatting sqref="B35:H37">
    <cfRule type="cellIs" dxfId="123" priority="2" operator="lessThan">
      <formula>0</formula>
    </cfRule>
  </conditionalFormatting>
  <conditionalFormatting sqref="B40:H41">
    <cfRule type="cellIs" dxfId="122" priority="1" operator="lessThan">
      <formula>0</formula>
    </cfRule>
  </conditionalFormatting>
  <conditionalFormatting sqref="B1:CG2">
    <cfRule type="cellIs" dxfId="121" priority="19" operator="lessThan">
      <formula>0</formula>
    </cfRule>
  </conditionalFormatting>
  <conditionalFormatting sqref="B5:CG8">
    <cfRule type="cellIs" dxfId="120" priority="8" operator="lessThan">
      <formula>0</formula>
    </cfRule>
  </conditionalFormatting>
  <conditionalFormatting sqref="B11:CG14">
    <cfRule type="cellIs" dxfId="119" priority="11" operator="lessThan">
      <formula>0</formula>
    </cfRule>
  </conditionalFormatting>
  <conditionalFormatting sqref="B17:CG19">
    <cfRule type="cellIs" dxfId="118" priority="10" operator="lessThan">
      <formula>0</formula>
    </cfRule>
  </conditionalFormatting>
  <conditionalFormatting sqref="B22:CG23">
    <cfRule type="cellIs" dxfId="117" priority="9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E2D9-E518-4DC0-97A5-DF3ED12DE971}">
  <dimension ref="A1:CG47"/>
  <sheetViews>
    <sheetView showGridLines="0" topLeftCell="A9" workbookViewId="0">
      <selection activeCell="C49" sqref="C49"/>
    </sheetView>
  </sheetViews>
  <sheetFormatPr defaultRowHeight="14.4" x14ac:dyDescent="0.3"/>
  <cols>
    <col min="1" max="1" width="34.88671875" bestFit="1" customWidth="1"/>
    <col min="2" max="6" width="13.109375" bestFit="1" customWidth="1"/>
  </cols>
  <sheetData>
    <row r="1" spans="1:85" ht="28.2" customHeight="1" x14ac:dyDescent="0.4">
      <c r="A1" s="121" t="s">
        <v>291</v>
      </c>
      <c r="B1" s="121" t="s">
        <v>291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2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</row>
    <row r="2" spans="1:85" x14ac:dyDescent="0.3">
      <c r="A2" s="123" t="str">
        <f>"Scenario: "&amp;'02_Control'!$B$14&amp;" | Currency: "&amp;'02_Control'!$B$12&amp;" | Units: £ actual"</f>
        <v>Scenario: Base | Currency: GBP | Units: £ actual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4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</row>
    <row r="3" spans="1:85" s="137" customFormat="1" x14ac:dyDescent="0.3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6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5"/>
    </row>
    <row r="4" spans="1:85" x14ac:dyDescent="0.3">
      <c r="A4" s="189"/>
      <c r="B4" s="172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</row>
    <row r="5" spans="1:85" x14ac:dyDescent="0.3">
      <c r="A5" s="45" t="s">
        <v>246</v>
      </c>
      <c r="B5" s="45">
        <v>2027</v>
      </c>
      <c r="C5" s="45">
        <v>2028</v>
      </c>
      <c r="D5" s="45">
        <v>2029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</row>
    <row r="6" spans="1:85" x14ac:dyDescent="0.3">
      <c r="A6" s="16" t="s">
        <v>22</v>
      </c>
      <c r="B6" s="106" t="str">
        <f>B5&amp;"F"</f>
        <v>2027F</v>
      </c>
      <c r="C6" s="106" t="str">
        <f t="shared" ref="C6:D6" si="0">C5&amp;"F"</f>
        <v>2028F</v>
      </c>
      <c r="D6" s="106" t="str">
        <f t="shared" si="0"/>
        <v>2029F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/>
      <c r="CE6" s="97"/>
      <c r="CF6" s="97"/>
      <c r="CG6" s="97"/>
    </row>
    <row r="7" spans="1:85" x14ac:dyDescent="0.3">
      <c r="A7" s="97"/>
      <c r="B7" s="172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</row>
    <row r="8" spans="1:85" x14ac:dyDescent="0.3">
      <c r="A8" s="23" t="s">
        <v>292</v>
      </c>
      <c r="B8" s="23"/>
      <c r="C8" s="23"/>
      <c r="D8" s="23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</row>
    <row r="9" spans="1:85" x14ac:dyDescent="0.3">
      <c r="A9" s="26" t="s">
        <v>28</v>
      </c>
      <c r="B9" s="27">
        <f>_xlfn.XLOOKUP(B$5,'07_Forecast_IS'!$B$28:$H$28,'07_Forecast_IS'!$B$30:$H$30)</f>
        <v>78829168.827666536</v>
      </c>
      <c r="C9" s="27">
        <f>_xlfn.XLOOKUP(C$5,'07_Forecast_IS'!$B$28:$H$28,'07_Forecast_IS'!$B$30:$H$30)</f>
        <v>88826680.539513484</v>
      </c>
      <c r="D9" s="27">
        <f>_xlfn.XLOOKUP(D$5,'07_Forecast_IS'!$B$28:$H$28,'07_Forecast_IS'!$B$30:$H$30)</f>
        <v>100092126.97546016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</row>
    <row r="10" spans="1:85" x14ac:dyDescent="0.3">
      <c r="A10" s="26" t="s">
        <v>31</v>
      </c>
      <c r="B10" s="29">
        <f>_xlfn.XLOOKUP(B$5,'07_Forecast_IS'!$B$28:$H$28,'07_Forecast_IS'!$B$34:$H$34)</f>
        <v>-26300804.509612277</v>
      </c>
      <c r="C10" s="29">
        <f>_xlfn.XLOOKUP(C$5,'07_Forecast_IS'!$B$28:$H$28,'07_Forecast_IS'!$B$34:$H$34)</f>
        <v>-29609086.141947612</v>
      </c>
      <c r="D10" s="29">
        <f>_xlfn.XLOOKUP(D$5,'07_Forecast_IS'!$B$28:$H$28,'07_Forecast_IS'!$B$34:$H$34)</f>
        <v>-33334199.570110425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</row>
    <row r="11" spans="1:85" x14ac:dyDescent="0.3">
      <c r="A11" s="26" t="s">
        <v>135</v>
      </c>
      <c r="B11" s="27">
        <f>_xlfn.XLOOKUP(B$5,'07_Forecast_IS'!$B$28:$H$28,'07_Forecast_IS'!$B$35:$H$35)</f>
        <v>-0.33364305244813808</v>
      </c>
      <c r="C11" s="27">
        <f>_xlfn.XLOOKUP(C$5,'07_Forecast_IS'!$B$28:$H$28,'07_Forecast_IS'!$B$35:$H$35)</f>
        <v>-0.33333550192474393</v>
      </c>
      <c r="D11" s="27">
        <f>_xlfn.XLOOKUP(D$5,'07_Forecast_IS'!$B$28:$H$28,'07_Forecast_IS'!$B$35:$H$35)</f>
        <v>-0.33303518046212621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</row>
    <row r="12" spans="1:85" x14ac:dyDescent="0.3">
      <c r="A12" s="26" t="s">
        <v>281</v>
      </c>
      <c r="B12" s="33">
        <f>_xlfn.XLOOKUP("Tax Rate",tbl_assumptions[Driver],tbl_assumptions[Selected Scenario])</f>
        <v>0.25</v>
      </c>
      <c r="C12" s="33">
        <f>_xlfn.XLOOKUP("Tax Rate",tbl_assumptions[Driver],tbl_assumptions[Selected Scenario])</f>
        <v>0.25</v>
      </c>
      <c r="D12" s="33">
        <f>_xlfn.XLOOKUP("Tax Rate",tbl_assumptions[Driver],tbl_assumptions[Selected Scenario])</f>
        <v>0.25</v>
      </c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</row>
    <row r="13" spans="1:85" x14ac:dyDescent="0.3">
      <c r="A13" s="26" t="s">
        <v>293</v>
      </c>
      <c r="B13" s="27">
        <f>-MAX(B10,0)*B12</f>
        <v>0</v>
      </c>
      <c r="C13" s="27">
        <f t="shared" ref="C13:D13" si="1">-MAX(C10,0)*C12</f>
        <v>0</v>
      </c>
      <c r="D13" s="27">
        <f t="shared" si="1"/>
        <v>0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</row>
    <row r="14" spans="1:85" x14ac:dyDescent="0.3">
      <c r="A14" s="26" t="s">
        <v>294</v>
      </c>
      <c r="B14" s="29">
        <f>B10+B13</f>
        <v>-26300804.509612277</v>
      </c>
      <c r="C14" s="29">
        <f t="shared" ref="C14:D14" si="2">C10+C13</f>
        <v>-29609086.141947612</v>
      </c>
      <c r="D14" s="29">
        <f t="shared" si="2"/>
        <v>-33334199.570110425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</row>
    <row r="15" spans="1:85" x14ac:dyDescent="0.3">
      <c r="A15" s="26" t="s">
        <v>283</v>
      </c>
      <c r="B15" s="31">
        <f>_xlfn.XLOOKUP("Reinvestment % of Revenue",tbl_assumptions[Driver],tbl_assumptions[Selected Scenario])</f>
        <v>3.5000000000000003E-2</v>
      </c>
      <c r="C15" s="31">
        <f>_xlfn.XLOOKUP("Reinvestment % of Revenue",tbl_assumptions[Driver],tbl_assumptions[Selected Scenario])</f>
        <v>3.5000000000000003E-2</v>
      </c>
      <c r="D15" s="31">
        <f>_xlfn.XLOOKUP("Reinvestment % of Revenue",tbl_assumptions[Driver],tbl_assumptions[Selected Scenario])</f>
        <v>3.5000000000000003E-2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</row>
    <row r="16" spans="1:85" x14ac:dyDescent="0.3">
      <c r="A16" s="26" t="s">
        <v>295</v>
      </c>
      <c r="B16" s="29">
        <f>-B9*B15</f>
        <v>-2759020.908968329</v>
      </c>
      <c r="C16" s="29">
        <f t="shared" ref="C16:D16" si="3">-C9*C15</f>
        <v>-3108933.818882972</v>
      </c>
      <c r="D16" s="29">
        <f t="shared" si="3"/>
        <v>-3503224.4441411057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</row>
    <row r="17" spans="1:85" x14ac:dyDescent="0.3">
      <c r="A17" s="26" t="s">
        <v>296</v>
      </c>
      <c r="B17" s="27">
        <f>B14+B16</f>
        <v>-29059825.418580607</v>
      </c>
      <c r="C17" s="27">
        <f t="shared" ref="C17:D17" si="4">C14+C16</f>
        <v>-32718019.960830584</v>
      </c>
      <c r="D17" s="27">
        <f t="shared" si="4"/>
        <v>-36837424.01425153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7"/>
    </row>
    <row r="18" spans="1:85" x14ac:dyDescent="0.3">
      <c r="A18" s="96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</row>
    <row r="19" spans="1:85" x14ac:dyDescent="0.3">
      <c r="A19" s="23" t="s">
        <v>297</v>
      </c>
      <c r="B19" s="23"/>
      <c r="C19" s="23"/>
      <c r="D19" s="23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</row>
    <row r="20" spans="1:85" x14ac:dyDescent="0.3">
      <c r="A20" s="26" t="s">
        <v>285</v>
      </c>
      <c r="B20" s="27">
        <f>_xlfn.XLOOKUP("WACC",tbl_assumptions[Driver],tbl_assumptions[Selected Scenario])</f>
        <v>0.1</v>
      </c>
      <c r="C20" s="27">
        <f>_xlfn.XLOOKUP("WACC",tbl_assumptions[Driver],tbl_assumptions[Selected Scenario])</f>
        <v>0.1</v>
      </c>
      <c r="D20" s="27">
        <f>_xlfn.XLOOKUP("WACC",tbl_assumptions[Driver],tbl_assumptions[Selected Scenario])</f>
        <v>0.1</v>
      </c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</row>
    <row r="21" spans="1:85" x14ac:dyDescent="0.3">
      <c r="A21" s="26" t="s">
        <v>287</v>
      </c>
      <c r="B21" s="33">
        <f>_xlfn.XLOOKUP("Terminal Growth Rate",tbl_assumptions[Driver],tbl_assumptions[Selected Scenario])</f>
        <v>2.5000000000000001E-2</v>
      </c>
      <c r="C21" s="33">
        <f>_xlfn.XLOOKUP("Terminal Growth Rate",tbl_assumptions[Driver],tbl_assumptions[Selected Scenario])</f>
        <v>2.5000000000000001E-2</v>
      </c>
      <c r="D21" s="33">
        <f>_xlfn.XLOOKUP("Terminal Growth Rate",tbl_assumptions[Driver],tbl_assumptions[Selected Scenario])</f>
        <v>2.5000000000000001E-2</v>
      </c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</row>
    <row r="22" spans="1:85" x14ac:dyDescent="0.3">
      <c r="A22" s="200" t="s">
        <v>298</v>
      </c>
      <c r="B22" s="27">
        <f>COLUMN(A1)-_xlfn.XLOOKUP("Mid-Year Convention",tbl_assumptions[Driver],tbl_assumptions[Selected Scenario])</f>
        <v>0.5</v>
      </c>
      <c r="C22" s="27">
        <f>COLUMN(B1)-_xlfn.XLOOKUP("Mid-Year Convention",tbl_assumptions[Driver],tbl_assumptions[Selected Scenario])</f>
        <v>1.5</v>
      </c>
      <c r="D22" s="27">
        <f>COLUMN(C1)-_xlfn.XLOOKUP("Mid-Year Convention",tbl_assumptions[Driver],tbl_assumptions[Selected Scenario])</f>
        <v>2.5</v>
      </c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</row>
    <row r="23" spans="1:85" x14ac:dyDescent="0.3">
      <c r="A23" s="26" t="s">
        <v>299</v>
      </c>
      <c r="B23" s="108">
        <f>1/(1+B20)^B22</f>
        <v>0.95346258924559224</v>
      </c>
      <c r="C23" s="108">
        <f t="shared" ref="C23:D23" si="5">1/(1+C20)^C22</f>
        <v>0.86678417204144742</v>
      </c>
      <c r="D23" s="108">
        <f t="shared" si="5"/>
        <v>0.78798561094677033</v>
      </c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</row>
    <row r="24" spans="1:85" x14ac:dyDescent="0.3">
      <c r="A24" s="26" t="s">
        <v>300</v>
      </c>
      <c r="B24" s="27">
        <f>B17*B23</f>
        <v>-27707456.386624742</v>
      </c>
      <c r="C24" s="27">
        <f t="shared" ref="C24:D24" si="6">C17*C23</f>
        <v>-28359461.842584088</v>
      </c>
      <c r="D24" s="27">
        <f t="shared" si="6"/>
        <v>-29027360.06757522</v>
      </c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97"/>
      <c r="CF24" s="97"/>
      <c r="CG24" s="97"/>
    </row>
    <row r="25" spans="1:85" x14ac:dyDescent="0.3">
      <c r="A25" s="26" t="s">
        <v>301</v>
      </c>
      <c r="B25" s="29" t="str">
        <f>""</f>
        <v/>
      </c>
      <c r="C25" s="29" t="str">
        <f>""</f>
        <v/>
      </c>
      <c r="D25" s="29">
        <f>IF(D20&gt;D21,D17*(1+D21)/(D20-D21),"Check WACC / g")</f>
        <v>-503444794.8614375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</row>
    <row r="26" spans="1:85" x14ac:dyDescent="0.3">
      <c r="A26" s="26" t="s">
        <v>302</v>
      </c>
      <c r="B26" s="27" t="str">
        <f>""</f>
        <v/>
      </c>
      <c r="C26" s="27" t="str">
        <f>""</f>
        <v/>
      </c>
      <c r="D26" s="27">
        <f>D25*D23</f>
        <v>-396707254.25686127</v>
      </c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97"/>
      <c r="CG26" s="97"/>
    </row>
    <row r="27" spans="1:85" x14ac:dyDescent="0.3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</row>
    <row r="28" spans="1:85" ht="16.2" x14ac:dyDescent="0.45">
      <c r="A28" s="193" t="s">
        <v>303</v>
      </c>
      <c r="B28" s="138">
        <f>SUM(B24:D24)+D26</f>
        <v>-481801532.55364531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</row>
    <row r="29" spans="1:85" x14ac:dyDescent="0.3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</row>
    <row r="30" spans="1:85" x14ac:dyDescent="0.3">
      <c r="A30" s="23" t="s">
        <v>266</v>
      </c>
      <c r="B30" s="23"/>
      <c r="C30" s="23"/>
      <c r="D30" s="23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7"/>
    </row>
    <row r="31" spans="1:85" x14ac:dyDescent="0.3">
      <c r="A31" s="26" t="s">
        <v>304</v>
      </c>
      <c r="B31" s="218" t="str">
        <f>IF(_xlfn.XLOOKUP("Terminal Growth Rate",tbl_assumptions[Driver],tbl_assumptions[Selected Scenario])&lt;_xlfn.XLOOKUP("WACC",tbl_assumptions[Driver],tbl_assumptions[Selected Scenario]),"OK","Check")</f>
        <v>OK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</row>
    <row r="32" spans="1:85" x14ac:dyDescent="0.3">
      <c r="A32" s="26" t="s">
        <v>305</v>
      </c>
      <c r="B32" s="219" t="str">
        <f>IF(COUNTIF(B17:D17,"&gt;0")=0,"All forecast FCF negative","Some positive FCF")</f>
        <v>All forecast FCF negative</v>
      </c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</row>
    <row r="33" spans="1:85" x14ac:dyDescent="0.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</row>
    <row r="34" spans="1:85" x14ac:dyDescent="0.3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</row>
    <row r="35" spans="1:85" x14ac:dyDescent="0.3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</row>
    <row r="36" spans="1:85" x14ac:dyDescent="0.3">
      <c r="A36" s="23" t="s">
        <v>308</v>
      </c>
      <c r="B36" s="23"/>
      <c r="C36" s="23"/>
      <c r="D36" s="23"/>
      <c r="E36" s="23"/>
      <c r="F36" s="23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</row>
    <row r="37" spans="1:85" x14ac:dyDescent="0.3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</row>
    <row r="38" spans="1:85" x14ac:dyDescent="0.3">
      <c r="A38" s="97" t="s">
        <v>309</v>
      </c>
      <c r="B38" s="139">
        <v>0.08</v>
      </c>
      <c r="C38" s="139">
        <v>0.09</v>
      </c>
      <c r="D38" s="139">
        <v>0.1</v>
      </c>
      <c r="E38" s="139">
        <v>0.11</v>
      </c>
      <c r="F38" s="139">
        <v>0.12</v>
      </c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</row>
    <row r="39" spans="1:85" x14ac:dyDescent="0.3">
      <c r="A39" s="139">
        <v>1.4999999999999999E-2</v>
      </c>
      <c r="B39" s="27">
        <f>IF(B$38&gt;$A39,SUM($B$24:$D$24)+($D$17*(1+$A39)/(B$38-$A39))*$D$23,"n/a")</f>
        <v>-538367670.12122786</v>
      </c>
      <c r="C39" s="27">
        <f t="shared" ref="C39:F43" si="7">IF(C$38&gt;$A39,SUM($B$24:$D$24)+($D$17*(1+$A39)/(C$38-$A39))*$D$23,"n/a")</f>
        <v>-477931217.87796873</v>
      </c>
      <c r="D39" s="27">
        <f t="shared" si="7"/>
        <v>-431715107.33900577</v>
      </c>
      <c r="E39" s="27">
        <f t="shared" si="7"/>
        <v>-395228704.28192979</v>
      </c>
      <c r="F39" s="27">
        <f t="shared" si="7"/>
        <v>-365692092.28334451</v>
      </c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</row>
    <row r="40" spans="1:85" x14ac:dyDescent="0.3">
      <c r="A40" s="139">
        <v>0.02</v>
      </c>
      <c r="B40" s="29">
        <f t="shared" ref="B40:B43" si="8">IF(B$38&gt;$A40,SUM($B$24:$D$24)+($D$17*(1+$A40)/(B$38-$A40))*$D$23,"n/a")</f>
        <v>-578559399.44556284</v>
      </c>
      <c r="C40" s="29">
        <f t="shared" si="7"/>
        <v>-508064382.13859445</v>
      </c>
      <c r="D40" s="29">
        <f t="shared" si="7"/>
        <v>-455193119.15836811</v>
      </c>
      <c r="E40" s="29">
        <f t="shared" si="7"/>
        <v>-414071025.72930324</v>
      </c>
      <c r="F40" s="29">
        <f t="shared" si="7"/>
        <v>-381173350.98605132</v>
      </c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</row>
    <row r="41" spans="1:85" x14ac:dyDescent="0.3">
      <c r="A41" s="139">
        <v>2.5000000000000001E-2</v>
      </c>
      <c r="B41" s="27">
        <f t="shared" si="8"/>
        <v>-626058715.9197768</v>
      </c>
      <c r="C41" s="27">
        <f t="shared" si="7"/>
        <v>-542833417.82393169</v>
      </c>
      <c r="D41" s="220">
        <f t="shared" si="7"/>
        <v>-481801532.55364531</v>
      </c>
      <c r="E41" s="27">
        <f t="shared" si="7"/>
        <v>-435130090.87636763</v>
      </c>
      <c r="F41" s="27">
        <f t="shared" si="7"/>
        <v>-398284215.86799037</v>
      </c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</row>
    <row r="42" spans="1:85" x14ac:dyDescent="0.3">
      <c r="A42" s="139">
        <v>0.03</v>
      </c>
      <c r="B42" s="29">
        <f t="shared" si="8"/>
        <v>-683057895.68883359</v>
      </c>
      <c r="C42" s="29">
        <f t="shared" si="7"/>
        <v>-583397292.79015875</v>
      </c>
      <c r="D42" s="29">
        <f t="shared" si="7"/>
        <v>-512211147.86253369</v>
      </c>
      <c r="E42" s="29">
        <f t="shared" si="7"/>
        <v>-458821539.16681504</v>
      </c>
      <c r="F42" s="29">
        <f t="shared" si="7"/>
        <v>-417296287.95903385</v>
      </c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</row>
    <row r="43" spans="1:85" x14ac:dyDescent="0.3">
      <c r="A43" s="139">
        <v>3.5000000000000003E-2</v>
      </c>
      <c r="B43" s="27">
        <f t="shared" si="8"/>
        <v>-752723559.85101402</v>
      </c>
      <c r="C43" s="27">
        <f t="shared" si="7"/>
        <v>-631336417.75024498</v>
      </c>
      <c r="D43" s="27">
        <f t="shared" si="7"/>
        <v>-547299165.52663565</v>
      </c>
      <c r="E43" s="27">
        <f t="shared" si="7"/>
        <v>-485671847.22932202</v>
      </c>
      <c r="F43" s="27">
        <f t="shared" si="7"/>
        <v>-438545074.41372937</v>
      </c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7"/>
    </row>
    <row r="44" spans="1:85" x14ac:dyDescent="0.3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7"/>
    </row>
    <row r="45" spans="1:85" x14ac:dyDescent="0.3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7"/>
    </row>
    <row r="46" spans="1:85" x14ac:dyDescent="0.3">
      <c r="A46" s="97" t="s">
        <v>306</v>
      </c>
      <c r="B46" s="218" t="str">
        <f>IF(MIN(B38:F38)&gt;MAX(A39:A43),"OK","Check: terminal growth &gt;= WACC in sensitivity range")</f>
        <v>OK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97"/>
      <c r="CG46" s="97"/>
    </row>
    <row r="47" spans="1:85" x14ac:dyDescent="0.3">
      <c r="A47" s="97" t="s">
        <v>307</v>
      </c>
      <c r="B47" s="27">
        <f>D41-$B$28</f>
        <v>0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7"/>
    </row>
  </sheetData>
  <mergeCells count="2">
    <mergeCell ref="A1:CG1"/>
    <mergeCell ref="A2:CG2"/>
  </mergeCells>
  <conditionalFormatting sqref="B1:CG1">
    <cfRule type="cellIs" dxfId="116" priority="19" operator="lessThan">
      <formula>0</formula>
    </cfRule>
  </conditionalFormatting>
  <conditionalFormatting sqref="B2:CG3">
    <cfRule type="cellIs" dxfId="115" priority="18" operator="lessThan">
      <formula>0</formula>
    </cfRule>
  </conditionalFormatting>
  <conditionalFormatting sqref="A6">
    <cfRule type="expression" dxfId="114" priority="16">
      <formula>A6="Forecast"</formula>
    </cfRule>
    <cfRule type="expression" dxfId="113" priority="17">
      <formula>A6="Actual"</formula>
    </cfRule>
  </conditionalFormatting>
  <conditionalFormatting sqref="B6:D6">
    <cfRule type="cellIs" dxfId="111" priority="14" operator="lessThan">
      <formula>0</formula>
    </cfRule>
  </conditionalFormatting>
  <conditionalFormatting sqref="B9:D11 B13:D14 B16:D17">
    <cfRule type="cellIs" dxfId="110" priority="13" operator="lessThan">
      <formula>0</formula>
    </cfRule>
  </conditionalFormatting>
  <conditionalFormatting sqref="B20:D20 B22:D22 B24:D26">
    <cfRule type="cellIs" dxfId="106" priority="10" operator="lessThan">
      <formula>0</formula>
    </cfRule>
  </conditionalFormatting>
  <conditionalFormatting sqref="B38:F38">
    <cfRule type="cellIs" dxfId="105" priority="9" operator="lessThan">
      <formula>0</formula>
    </cfRule>
  </conditionalFormatting>
  <conditionalFormatting sqref="B12:D12">
    <cfRule type="cellIs" dxfId="104" priority="8" operator="lessThan">
      <formula>0</formula>
    </cfRule>
  </conditionalFormatting>
  <conditionalFormatting sqref="B15:D15">
    <cfRule type="cellIs" dxfId="103" priority="7" operator="lessThan">
      <formula>0</formula>
    </cfRule>
  </conditionalFormatting>
  <conditionalFormatting sqref="B21:D21">
    <cfRule type="cellIs" dxfId="102" priority="6" operator="lessThan">
      <formula>0</formula>
    </cfRule>
  </conditionalFormatting>
  <conditionalFormatting sqref="B23:D23">
    <cfRule type="cellIs" dxfId="101" priority="5" operator="lessThan">
      <formula>0</formula>
    </cfRule>
  </conditionalFormatting>
  <conditionalFormatting sqref="B28">
    <cfRule type="cellIs" dxfId="100" priority="4" operator="lessThan">
      <formula>0</formula>
    </cfRule>
  </conditionalFormatting>
  <conditionalFormatting sqref="A39:A43">
    <cfRule type="cellIs" dxfId="72" priority="3" operator="lessThan">
      <formula>0</formula>
    </cfRule>
  </conditionalFormatting>
  <conditionalFormatting sqref="B39:F43">
    <cfRule type="cellIs" dxfId="71" priority="2" operator="lessThan">
      <formula>0</formula>
    </cfRule>
  </conditionalFormatting>
  <conditionalFormatting sqref="B47">
    <cfRule type="cellIs" dxfId="70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F220-4D39-48A4-8E22-97B9E7012EA7}">
  <dimension ref="A1:CG51"/>
  <sheetViews>
    <sheetView showGridLines="0" topLeftCell="A7" workbookViewId="0">
      <selection activeCell="A2" sqref="A2"/>
    </sheetView>
  </sheetViews>
  <sheetFormatPr defaultRowHeight="14.4" x14ac:dyDescent="0.3"/>
  <cols>
    <col min="1" max="1" width="51.88671875" customWidth="1"/>
    <col min="2" max="2" width="40.77734375" customWidth="1"/>
  </cols>
  <sheetData>
    <row r="1" spans="1:85" ht="39" customHeight="1" x14ac:dyDescent="0.3">
      <c r="A1" s="210" t="s">
        <v>161</v>
      </c>
      <c r="B1" s="210"/>
      <c r="C1" s="210"/>
      <c r="D1" s="210"/>
      <c r="E1" s="210"/>
      <c r="F1" s="210"/>
      <c r="G1" s="210"/>
      <c r="H1" s="210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99"/>
      <c r="BU1" s="199"/>
      <c r="BV1" s="199"/>
      <c r="BW1" s="199"/>
      <c r="BX1" s="199"/>
      <c r="BY1" s="199"/>
      <c r="BZ1" s="199"/>
      <c r="CA1" s="199"/>
      <c r="CB1" s="199"/>
      <c r="CC1" s="199"/>
      <c r="CD1" s="199"/>
      <c r="CE1" s="199"/>
      <c r="CF1" s="199"/>
      <c r="CG1" s="199"/>
    </row>
    <row r="2" spans="1:85" s="7" customFormat="1" ht="24" customHeight="1" x14ac:dyDescent="0.3">
      <c r="A2" s="111" t="s">
        <v>176</v>
      </c>
      <c r="B2" s="112"/>
      <c r="C2" s="112"/>
      <c r="D2" s="112"/>
      <c r="E2" s="112"/>
      <c r="F2" s="112"/>
      <c r="G2" s="112"/>
      <c r="H2" s="112"/>
      <c r="I2"/>
      <c r="J2"/>
      <c r="K2"/>
      <c r="L2"/>
      <c r="M2"/>
      <c r="N2"/>
      <c r="O2"/>
      <c r="P2"/>
      <c r="Q2" s="198"/>
      <c r="R2" s="198"/>
      <c r="S2" s="198"/>
      <c r="T2" s="198"/>
      <c r="U2" s="198"/>
      <c r="V2" s="198"/>
      <c r="W2" s="198"/>
      <c r="X2" s="198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</row>
    <row r="3" spans="1:85" x14ac:dyDescent="0.3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</row>
    <row r="4" spans="1:85" s="5" customFormat="1" x14ac:dyDescent="0.3">
      <c r="A4" s="76" t="s">
        <v>156</v>
      </c>
      <c r="B4" s="77"/>
      <c r="C4" s="77"/>
      <c r="D4" s="77"/>
      <c r="E4" s="77"/>
      <c r="F4" s="77"/>
      <c r="G4" s="77"/>
      <c r="H4" s="77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</row>
    <row r="5" spans="1:85" x14ac:dyDescent="0.3">
      <c r="A5" s="78" t="s">
        <v>159</v>
      </c>
      <c r="B5" s="79">
        <v>42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</row>
    <row r="6" spans="1:85" x14ac:dyDescent="0.3">
      <c r="A6" s="78" t="s">
        <v>128</v>
      </c>
      <c r="B6" s="79">
        <f>ROWS(tbl_model_feed_final[reporting_month_date])</f>
        <v>42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/>
      <c r="CE6" s="97"/>
      <c r="CF6" s="97"/>
      <c r="CG6" s="97"/>
    </row>
    <row r="7" spans="1:85" x14ac:dyDescent="0.3">
      <c r="A7" s="78" t="s">
        <v>55</v>
      </c>
      <c r="B7" s="80" t="str">
        <f>IF(B5=B6,"OK","Check")</f>
        <v>OK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</row>
    <row r="8" spans="1:85" x14ac:dyDescent="0.3">
      <c r="A8" s="81" t="s">
        <v>163</v>
      </c>
      <c r="B8" s="82">
        <f>MIN(tbl_model_feed_final[reporting_month_date])</f>
        <v>44927</v>
      </c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</row>
    <row r="9" spans="1:85" x14ac:dyDescent="0.3">
      <c r="A9" s="78" t="s">
        <v>164</v>
      </c>
      <c r="B9" s="82">
        <f>MAX(tbl_model_feed_final[reporting_month_date])</f>
        <v>46174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</row>
    <row r="10" spans="1:85" x14ac:dyDescent="0.3">
      <c r="A10" s="78" t="s">
        <v>162</v>
      </c>
      <c r="B10" s="83">
        <f>ROWS(tbl_model_feed_final[reporting_month_date])-ROWS(_xlfn.UNIQUE(tbl_model_feed_final[reporting_month_date]))</f>
        <v>0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</row>
    <row r="11" spans="1:85" x14ac:dyDescent="0.3">
      <c r="A11" s="78" t="s">
        <v>189</v>
      </c>
      <c r="B11" s="83">
        <f>DATEDIF(MIN(tbl_model_feed_final[reporting_month_date]),MAX(tbl_model_feed_final[reporting_month_date]),"m")+1</f>
        <v>42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</row>
    <row r="12" spans="1:85" x14ac:dyDescent="0.3">
      <c r="A12" s="78" t="s">
        <v>190</v>
      </c>
      <c r="B12" s="84" t="str">
        <f>IF(B11=B6,"OK","Check")</f>
        <v>OK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</row>
    <row r="13" spans="1:85" x14ac:dyDescent="0.3">
      <c r="A13" s="85"/>
      <c r="B13" s="84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</row>
    <row r="14" spans="1:85" s="5" customFormat="1" x14ac:dyDescent="0.3">
      <c r="A14" s="86" t="s">
        <v>157</v>
      </c>
      <c r="B14" s="87"/>
      <c r="C14" s="77"/>
      <c r="D14" s="77"/>
      <c r="E14" s="77"/>
      <c r="F14" s="77"/>
      <c r="G14" s="77"/>
      <c r="H14" s="77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195"/>
      <c r="BS14" s="195"/>
      <c r="BT14" s="195"/>
      <c r="BU14" s="195"/>
      <c r="BV14" s="195"/>
      <c r="BW14" s="195"/>
      <c r="BX14" s="195"/>
      <c r="BY14" s="195"/>
      <c r="BZ14" s="195"/>
      <c r="CA14" s="195"/>
      <c r="CB14" s="195"/>
      <c r="CC14" s="195"/>
      <c r="CD14" s="195"/>
      <c r="CE14" s="195"/>
      <c r="CF14" s="195"/>
      <c r="CG14" s="195"/>
    </row>
    <row r="15" spans="1:85" x14ac:dyDescent="0.3">
      <c r="A15" s="81" t="s">
        <v>191</v>
      </c>
      <c r="B15" s="88" cm="1">
        <f t="array" ref="B15">MAX(ABS(_xlfn._xlws.FILTER('05_Monthly_Model'!B24:CG24,'05_Monthly_Model'!B$5:CG$5="Actual")))</f>
        <v>0</v>
      </c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</row>
    <row r="16" spans="1:85" x14ac:dyDescent="0.3">
      <c r="A16" s="81" t="s">
        <v>205</v>
      </c>
      <c r="B16" s="88" t="str">
        <f>IF(B15&lt;=1,"OK","Check")</f>
        <v>OK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</row>
    <row r="17" spans="1:85" x14ac:dyDescent="0.3">
      <c r="A17" s="81" t="s">
        <v>192</v>
      </c>
      <c r="B17" s="88" cm="1">
        <f t="array" ref="B17">MAX(ABS(_xlfn._xlws.FILTER('05_Monthly_Model'!B22:CG22,'05_Monthly_Model'!B$5:CG$5="Actual")))</f>
        <v>0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7"/>
    </row>
    <row r="18" spans="1:85" x14ac:dyDescent="0.3">
      <c r="A18" s="81" t="s">
        <v>206</v>
      </c>
      <c r="B18" s="88" t="str">
        <f>IF(B17&lt;=1,"OK","Check")</f>
        <v>OK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</row>
    <row r="19" spans="1:85" x14ac:dyDescent="0.3">
      <c r="A19" s="81" t="s">
        <v>193</v>
      </c>
      <c r="B19" s="83">
        <f>COUNTIF(tbl_model_feed_final[deferred_revenue_model_status],"&lt;&gt;OK")</f>
        <v>1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</row>
    <row r="20" spans="1:85" x14ac:dyDescent="0.3">
      <c r="A20" s="81" t="s">
        <v>194</v>
      </c>
      <c r="B20" s="84" t="str">
        <f>IF(B19=0,"OK","Control Exception Present")</f>
        <v>Control Exception Present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7"/>
    </row>
    <row r="21" spans="1:85" x14ac:dyDescent="0.3">
      <c r="A21" s="89"/>
      <c r="B21" s="84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</row>
    <row r="22" spans="1:85" x14ac:dyDescent="0.3">
      <c r="A22" s="89"/>
      <c r="B22" s="84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</row>
    <row r="23" spans="1:85" x14ac:dyDescent="0.3">
      <c r="A23" s="89"/>
      <c r="B23" s="84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</row>
    <row r="24" spans="1:85" s="5" customFormat="1" x14ac:dyDescent="0.3">
      <c r="A24" s="86" t="s">
        <v>160</v>
      </c>
      <c r="B24" s="87"/>
      <c r="C24" s="77"/>
      <c r="D24" s="77"/>
      <c r="E24" s="77"/>
      <c r="F24" s="77"/>
      <c r="G24" s="77"/>
      <c r="H24" s="77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5"/>
      <c r="BN24" s="195"/>
      <c r="BO24" s="195"/>
      <c r="BP24" s="195"/>
      <c r="BQ24" s="195"/>
      <c r="BR24" s="195"/>
      <c r="BS24" s="195"/>
      <c r="BT24" s="195"/>
      <c r="BU24" s="195"/>
      <c r="BV24" s="195"/>
      <c r="BW24" s="195"/>
      <c r="BX24" s="195"/>
      <c r="BY24" s="195"/>
      <c r="BZ24" s="195"/>
      <c r="CA24" s="195"/>
      <c r="CB24" s="195"/>
      <c r="CC24" s="195"/>
      <c r="CD24" s="195"/>
      <c r="CE24" s="195"/>
      <c r="CF24" s="195"/>
      <c r="CG24" s="195"/>
    </row>
    <row r="25" spans="1:85" x14ac:dyDescent="0.3">
      <c r="A25" s="90" t="s">
        <v>165</v>
      </c>
      <c r="B25" s="91" cm="1">
        <f t="array" ref="B25">MAX(ABS(tbl_model_feed_final[arr_monthly_run_rate_variance_gbp]))</f>
        <v>6980.636666665785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</row>
    <row r="26" spans="1:85" x14ac:dyDescent="0.3">
      <c r="A26" s="90" t="s">
        <v>166</v>
      </c>
      <c r="B26" s="92" t="str">
        <f>IF(B25&lt;=1,"OK","Rounding / Definition Difference")</f>
        <v>Rounding / Definition Difference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97"/>
      <c r="CG26" s="97"/>
    </row>
    <row r="27" spans="1:85" x14ac:dyDescent="0.3">
      <c r="A27" s="90" t="s">
        <v>167</v>
      </c>
      <c r="B27" s="91" cm="1">
        <f t="array" ref="B27">MAX(ABS(tbl_model_feed_final[arr_bridge_variance_gbp]))</f>
        <v>96867.639999985695</v>
      </c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</row>
    <row r="28" spans="1:85" x14ac:dyDescent="0.3">
      <c r="A28" s="90" t="s">
        <v>168</v>
      </c>
      <c r="B28" s="92" t="str">
        <f>IF(B27&lt;=1,"OK","Source Definition Difference")</f>
        <v>Source Definition Difference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</row>
    <row r="29" spans="1:85" x14ac:dyDescent="0.3">
      <c r="A29" s="90" t="s">
        <v>169</v>
      </c>
      <c r="B29" s="92" t="str">
        <f>IF(COUNTIF(tbl_model_feed_final[arr_bridge_status],"OK")=ROWS(tbl_model_feed_final[arr_bridge_status]),"Yes","No - forecast headline ARR directly")</f>
        <v>No - forecast headline ARR directly</v>
      </c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</row>
    <row r="30" spans="1:85" x14ac:dyDescent="0.3">
      <c r="A30" s="81" t="s">
        <v>195</v>
      </c>
      <c r="B30" s="83">
        <f>COUNTIF(tbl_model_feed_final[revenue_vs_o2c_billings_status],"Definition Difference")</f>
        <v>33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7"/>
    </row>
    <row r="31" spans="1:85" x14ac:dyDescent="0.3">
      <c r="A31" s="81" t="s">
        <v>196</v>
      </c>
      <c r="B31" s="84" t="str">
        <f>IF(B30=0,"OK","Definition Difference Present")</f>
        <v>Definition Difference Present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</row>
    <row r="32" spans="1:85" x14ac:dyDescent="0.3">
      <c r="A32" s="89"/>
      <c r="B32" s="84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</row>
    <row r="33" spans="1:85" x14ac:dyDescent="0.3">
      <c r="A33" s="89"/>
      <c r="B33" s="84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</row>
    <row r="34" spans="1:85" s="5" customFormat="1" x14ac:dyDescent="0.3">
      <c r="A34" s="86" t="s">
        <v>158</v>
      </c>
      <c r="B34" s="87"/>
      <c r="C34" s="77"/>
      <c r="D34" s="77"/>
      <c r="E34" s="77"/>
      <c r="F34" s="77"/>
      <c r="G34" s="77"/>
      <c r="H34" s="77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  <c r="BK34" s="195"/>
      <c r="BL34" s="195"/>
      <c r="BM34" s="195"/>
      <c r="BN34" s="195"/>
      <c r="BO34" s="195"/>
      <c r="BP34" s="195"/>
      <c r="BQ34" s="195"/>
      <c r="BR34" s="195"/>
      <c r="BS34" s="195"/>
      <c r="BT34" s="195"/>
      <c r="BU34" s="195"/>
      <c r="BV34" s="195"/>
      <c r="BW34" s="195"/>
      <c r="BX34" s="195"/>
      <c r="BY34" s="195"/>
      <c r="BZ34" s="195"/>
      <c r="CA34" s="195"/>
      <c r="CB34" s="195"/>
      <c r="CC34" s="195"/>
      <c r="CD34" s="195"/>
      <c r="CE34" s="195"/>
      <c r="CF34" s="195"/>
      <c r="CG34" s="195"/>
    </row>
    <row r="35" spans="1:85" x14ac:dyDescent="0.3">
      <c r="A35" s="81" t="s">
        <v>171</v>
      </c>
      <c r="B35" s="83">
        <f>COUNTIF(tbl_model_feed_final[ap_control_status],"Control Exception")</f>
        <v>3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</row>
    <row r="36" spans="1:85" x14ac:dyDescent="0.3">
      <c r="A36" s="81" t="s">
        <v>200</v>
      </c>
      <c r="B36" s="83" t="str">
        <f>IF(B35=0,"OK","Control Exception Present")</f>
        <v>Control Exception Present</v>
      </c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</row>
    <row r="37" spans="1:85" x14ac:dyDescent="0.3">
      <c r="A37" s="81" t="s">
        <v>172</v>
      </c>
      <c r="B37" s="83">
        <f>COUNTIF(tbl_model_feed_final[workforce_control_status],"Control Exception")</f>
        <v>42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</row>
    <row r="38" spans="1:85" x14ac:dyDescent="0.3">
      <c r="A38" s="81" t="s">
        <v>197</v>
      </c>
      <c r="B38" s="83" t="str">
        <f>IF(B37=0,"OK","Control Exception Present")</f>
        <v>Control Exception Present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</row>
    <row r="39" spans="1:85" x14ac:dyDescent="0.3">
      <c r="A39" s="81" t="s">
        <v>173</v>
      </c>
      <c r="B39" s="83">
        <f>COUNTIF(tbl_model_feed_final[saas_arr_control_status],"Control Exception")</f>
        <v>42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</row>
    <row r="40" spans="1:85" x14ac:dyDescent="0.3">
      <c r="A40" s="81" t="s">
        <v>198</v>
      </c>
      <c r="B40" s="84" t="str">
        <f>IF(B39=0,"OK","Control Exception Present")</f>
        <v>Control Exception Present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</row>
    <row r="41" spans="1:85" x14ac:dyDescent="0.3">
      <c r="A41" s="196" t="s">
        <v>174</v>
      </c>
      <c r="B41" s="97">
        <f>COUNTIF(tbl_model_feed_final[saas_retention_control_status],"Control Exception")</f>
        <v>42</v>
      </c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</row>
    <row r="42" spans="1:85" x14ac:dyDescent="0.3">
      <c r="A42" s="196" t="s">
        <v>199</v>
      </c>
      <c r="B42" s="97" t="str">
        <f>IF(B41=0,"OK","Control Exception Present")</f>
        <v>Control Exception Present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</row>
    <row r="43" spans="1:85" x14ac:dyDescent="0.3">
      <c r="A43" s="196" t="s">
        <v>175</v>
      </c>
      <c r="B43" s="97">
        <f>COUNTIF(tbl_model_feed_final[deferred_revenue_model_status],"Check")</f>
        <v>1</v>
      </c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7"/>
    </row>
    <row r="44" spans="1:85" x14ac:dyDescent="0.3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7"/>
    </row>
    <row r="45" spans="1:85" x14ac:dyDescent="0.3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7"/>
    </row>
    <row r="46" spans="1:85" s="5" customFormat="1" ht="15.6" x14ac:dyDescent="0.3">
      <c r="A46" s="197" t="s">
        <v>201</v>
      </c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95"/>
      <c r="BQ46" s="195"/>
      <c r="BR46" s="195"/>
      <c r="BS46" s="195"/>
      <c r="BT46" s="195"/>
      <c r="BU46" s="195"/>
      <c r="BV46" s="195"/>
      <c r="BW46" s="195"/>
      <c r="BX46" s="195"/>
      <c r="BY46" s="195"/>
      <c r="BZ46" s="195"/>
      <c r="CA46" s="195"/>
      <c r="CB46" s="195"/>
      <c r="CC46" s="195"/>
      <c r="CD46" s="195"/>
      <c r="CE46" s="195"/>
      <c r="CF46" s="195"/>
      <c r="CG46" s="195"/>
    </row>
    <row r="47" spans="1:85" x14ac:dyDescent="0.3">
      <c r="A47" s="196" t="s">
        <v>243</v>
      </c>
      <c r="B47" s="97">
        <f>COUNTA('05_Monthly_Model'!AR10:CG34)</f>
        <v>882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7"/>
    </row>
    <row r="48" spans="1:85" x14ac:dyDescent="0.3">
      <c r="A48" s="196" t="s">
        <v>244</v>
      </c>
      <c r="B48" s="97" t="str">
        <f>IF(B47&gt;0,"OK","Check - forecast period blank")</f>
        <v>OK</v>
      </c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7"/>
    </row>
    <row r="49" spans="1:85" x14ac:dyDescent="0.3">
      <c r="A49" s="196" t="s">
        <v>202</v>
      </c>
      <c r="B49" s="97">
        <f>'02_Control'!$B$18</f>
        <v>1</v>
      </c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97"/>
      <c r="CF49" s="97"/>
      <c r="CG49" s="97"/>
    </row>
    <row r="50" spans="1:85" x14ac:dyDescent="0.3">
      <c r="A50" s="196" t="s">
        <v>203</v>
      </c>
      <c r="B50" s="97" t="str">
        <f>IF(OR(B49=1,B49=1000,B49=1000000),"OK","Check")</f>
        <v>OK</v>
      </c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/>
      <c r="CE50" s="97"/>
      <c r="CF50" s="97"/>
      <c r="CG50" s="97"/>
    </row>
    <row r="51" spans="1:85" x14ac:dyDescent="0.3">
      <c r="A51" s="196" t="s">
        <v>204</v>
      </c>
      <c r="B51" s="97" t="str">
        <f>IF(OR('02_Control'!$B$14="Base",'02_Control'!$B$14="Upside",'02_Control'!$B$14="Downside"),"OK","Check")</f>
        <v>OK</v>
      </c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</row>
  </sheetData>
  <sortState xmlns:xlrd2="http://schemas.microsoft.com/office/spreadsheetml/2017/richdata2" ref="A24">
    <sortCondition ref="A24"/>
  </sortState>
  <conditionalFormatting sqref="B7">
    <cfRule type="expression" dxfId="99" priority="1">
      <formula>OR($B$7="OK",$B$7="Yes")</formula>
    </cfRule>
    <cfRule type="expression" dxfId="98" priority="2">
      <formula>AND($B$7&lt;&gt;"OK",$B$7&lt;&gt;"Yes",$B$7&lt;&gt;"")</formula>
    </cfRule>
  </conditionalFormatting>
  <conditionalFormatting sqref="B12">
    <cfRule type="expression" dxfId="97" priority="3">
      <formula>OR($B$12="OK",$B$12="Yes")</formula>
    </cfRule>
    <cfRule type="expression" dxfId="96" priority="4">
      <formula>AND($B$12&lt;&gt;"OK",$B$12&lt;&gt;"Yes",$B$12&lt;&gt;"")</formula>
    </cfRule>
  </conditionalFormatting>
  <conditionalFormatting sqref="B16">
    <cfRule type="expression" dxfId="95" priority="5">
      <formula>OR($B$16="OK",$B$16="Yes")</formula>
    </cfRule>
    <cfRule type="expression" dxfId="94" priority="6">
      <formula>AND($B$16&lt;&gt;"OK",$B$16&lt;&gt;"Yes",$B$16&lt;&gt;"")</formula>
    </cfRule>
  </conditionalFormatting>
  <conditionalFormatting sqref="B18">
    <cfRule type="expression" dxfId="93" priority="7">
      <formula>OR($B$18="OK",$B$18="Yes")</formula>
    </cfRule>
    <cfRule type="expression" dxfId="92" priority="8">
      <formula>AND($B$18&lt;&gt;"OK",$B$18&lt;&gt;"Yes",$B$18&lt;&gt;"")</formula>
    </cfRule>
  </conditionalFormatting>
  <conditionalFormatting sqref="B20">
    <cfRule type="expression" dxfId="91" priority="9">
      <formula>OR($B$20="OK",$B$20="Yes")</formula>
    </cfRule>
    <cfRule type="expression" dxfId="90" priority="10">
      <formula>AND($B$20&lt;&gt;"OK",$B$20&lt;&gt;"Yes",$B$20&lt;&gt;"")</formula>
    </cfRule>
  </conditionalFormatting>
  <conditionalFormatting sqref="B26">
    <cfRule type="expression" dxfId="89" priority="11">
      <formula>OR($B$26="OK",$B$26="Yes")</formula>
    </cfRule>
    <cfRule type="expression" dxfId="88" priority="12">
      <formula>AND($B$26&lt;&gt;"OK",$B$26&lt;&gt;"Yes",$B$26&lt;&gt;"")</formula>
    </cfRule>
  </conditionalFormatting>
  <conditionalFormatting sqref="B28">
    <cfRule type="expression" dxfId="87" priority="13">
      <formula>OR($B$28="OK",$B$28="Yes")</formula>
    </cfRule>
    <cfRule type="expression" dxfId="86" priority="14">
      <formula>AND($B$28&lt;&gt;"OK",$B$28&lt;&gt;"Yes",$B$28&lt;&gt;"")</formula>
    </cfRule>
  </conditionalFormatting>
  <conditionalFormatting sqref="B29">
    <cfRule type="expression" dxfId="85" priority="15">
      <formula>OR($B$29="OK",$B$29="Yes")</formula>
    </cfRule>
    <cfRule type="expression" dxfId="84" priority="16">
      <formula>AND($B$29&lt;&gt;"OK",$B$29&lt;&gt;"Yes",$B$29&lt;&gt;"")</formula>
    </cfRule>
  </conditionalFormatting>
  <conditionalFormatting sqref="B31">
    <cfRule type="expression" dxfId="83" priority="17">
      <formula>OR($B$31="OK",$B$31="Yes")</formula>
    </cfRule>
    <cfRule type="expression" dxfId="82" priority="18">
      <formula>AND($B$31&lt;&gt;"OK",$B$31&lt;&gt;"Yes",$B$31&lt;&gt;"")</formula>
    </cfRule>
  </conditionalFormatting>
  <conditionalFormatting sqref="B36">
    <cfRule type="expression" dxfId="81" priority="19">
      <formula>OR($B$36="OK",$B$36="Yes")</formula>
    </cfRule>
    <cfRule type="expression" dxfId="80" priority="20">
      <formula>AND($B$36&lt;&gt;"OK",$B$36&lt;&gt;"Yes",$B$36&lt;&gt;"")</formula>
    </cfRule>
  </conditionalFormatting>
  <conditionalFormatting sqref="B38">
    <cfRule type="expression" dxfId="79" priority="21">
      <formula>OR($B$38="OK",$B$38="Yes")</formula>
    </cfRule>
    <cfRule type="expression" dxfId="78" priority="22">
      <formula>AND($B$38&lt;&gt;"OK",$B$38&lt;&gt;"Yes",$B$38&lt;&gt;"")</formula>
    </cfRule>
  </conditionalFormatting>
  <conditionalFormatting sqref="B40">
    <cfRule type="expression" dxfId="77" priority="23">
      <formula>OR($B$40="OK",$B$40="Yes")</formula>
    </cfRule>
    <cfRule type="expression" dxfId="76" priority="24">
      <formula>AND($B$40&lt;&gt;"OK",$B$40&lt;&gt;"Yes",$B$40&lt;&gt;"")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C8FD-0A91-4702-A970-EEF74E053D7D}">
  <dimension ref="A1:CG18"/>
  <sheetViews>
    <sheetView workbookViewId="0">
      <selection activeCell="B5" sqref="B5"/>
    </sheetView>
  </sheetViews>
  <sheetFormatPr defaultRowHeight="14.4" x14ac:dyDescent="0.3"/>
  <cols>
    <col min="1" max="1" width="10.33203125" bestFit="1" customWidth="1"/>
  </cols>
  <sheetData>
    <row r="1" spans="1:85" ht="21" x14ac:dyDescent="0.4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9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</row>
    <row r="2" spans="1:85" s="118" customFormat="1" ht="21" x14ac:dyDescent="0.4"/>
    <row r="3" spans="1:85" x14ac:dyDescent="0.3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2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131"/>
      <c r="BP3" s="131"/>
      <c r="BQ3" s="131"/>
      <c r="BR3" s="131"/>
      <c r="BS3" s="131"/>
      <c r="BT3" s="131"/>
      <c r="BU3" s="131"/>
      <c r="BV3" s="131"/>
      <c r="BW3" s="131"/>
      <c r="BX3" s="131"/>
      <c r="BY3" s="131"/>
      <c r="BZ3" s="131"/>
      <c r="CA3" s="131"/>
      <c r="CB3" s="131"/>
      <c r="CC3" s="131"/>
      <c r="CD3" s="131"/>
      <c r="CE3" s="131"/>
      <c r="CF3" s="131"/>
      <c r="CG3" s="131"/>
    </row>
    <row r="4" spans="1:85" x14ac:dyDescent="0.3">
      <c r="A4" s="10"/>
      <c r="B4" s="2"/>
    </row>
    <row r="5" spans="1:85" x14ac:dyDescent="0.3">
      <c r="A5" s="10"/>
      <c r="B5" s="2"/>
    </row>
    <row r="6" spans="1:85" x14ac:dyDescent="0.3">
      <c r="A6" s="10"/>
      <c r="B6" s="2"/>
    </row>
    <row r="7" spans="1:85" x14ac:dyDescent="0.3">
      <c r="A7" s="10"/>
      <c r="B7" s="2"/>
    </row>
    <row r="8" spans="1:85" x14ac:dyDescent="0.3">
      <c r="A8" s="10"/>
      <c r="B8" s="2"/>
    </row>
    <row r="9" spans="1:85" x14ac:dyDescent="0.3">
      <c r="A9" s="10"/>
      <c r="B9" s="2"/>
    </row>
    <row r="10" spans="1:85" x14ac:dyDescent="0.3">
      <c r="A10" s="10"/>
      <c r="B10" s="2"/>
    </row>
    <row r="11" spans="1:85" x14ac:dyDescent="0.3">
      <c r="A11" s="10"/>
      <c r="B11" s="2"/>
    </row>
    <row r="12" spans="1:85" x14ac:dyDescent="0.3">
      <c r="A12" s="10"/>
      <c r="B12" s="2"/>
    </row>
    <row r="13" spans="1:85" x14ac:dyDescent="0.3">
      <c r="A13" s="10"/>
      <c r="B13" s="2"/>
    </row>
    <row r="14" spans="1:85" x14ac:dyDescent="0.3">
      <c r="A14" s="10"/>
      <c r="B14" s="2"/>
    </row>
    <row r="15" spans="1:85" x14ac:dyDescent="0.3">
      <c r="A15" s="10"/>
      <c r="B15" s="2"/>
    </row>
    <row r="16" spans="1:85" x14ac:dyDescent="0.3">
      <c r="A16" s="10"/>
      <c r="B16" s="2"/>
    </row>
    <row r="17" spans="1:2" x14ac:dyDescent="0.3">
      <c r="A17" s="10"/>
      <c r="B17" s="2"/>
    </row>
    <row r="18" spans="1:2" x14ac:dyDescent="0.3">
      <c r="A18" s="10"/>
      <c r="B18" s="2"/>
    </row>
  </sheetData>
  <mergeCells count="1">
    <mergeCell ref="A3:CG3"/>
  </mergeCells>
  <conditionalFormatting sqref="B1:CG1">
    <cfRule type="cellIs" dxfId="75" priority="2" operator="lessThan">
      <formula>0</formula>
    </cfRule>
  </conditionalFormatting>
  <conditionalFormatting sqref="B3:CG3">
    <cfRule type="cellIs" dxfId="74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C78C1F-8F65-4593-84B9-7C260D6CDD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00_Cover</vt:lpstr>
      <vt:lpstr>01_Model_Map</vt:lpstr>
      <vt:lpstr>02_Control</vt:lpstr>
      <vt:lpstr>03_Raw_Exports</vt:lpstr>
      <vt:lpstr>04_Model_Feed_Final</vt:lpstr>
      <vt:lpstr>05_Monthly_Model</vt:lpstr>
      <vt:lpstr>06_Assumptions</vt:lpstr>
      <vt:lpstr>07_Forecast_IS</vt:lpstr>
      <vt:lpstr>08_Forecast_BS</vt:lpstr>
      <vt:lpstr>09_Forecast_CFS</vt:lpstr>
      <vt:lpstr>10_DCF</vt:lpstr>
      <vt:lpstr>11_Audit_Checks</vt:lpstr>
      <vt:lpstr>12_Outputs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Andrews</dc:creator>
  <cp:lastModifiedBy>Lewis Andrews</cp:lastModifiedBy>
  <dcterms:created xsi:type="dcterms:W3CDTF">2026-06-21T16:54:22Z</dcterms:created>
  <dcterms:modified xsi:type="dcterms:W3CDTF">2026-07-01T02:57:38Z</dcterms:modified>
</cp:coreProperties>
</file>